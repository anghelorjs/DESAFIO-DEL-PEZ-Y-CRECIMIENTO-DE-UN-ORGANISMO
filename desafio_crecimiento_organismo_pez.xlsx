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arge\Desktop\UMSA\INFORMATICA\METODOS NUMERICOS I\TAREAS\"/>
    </mc:Choice>
  </mc:AlternateContent>
  <xr:revisionPtr revIDLastSave="0" documentId="13_ncr:1_{D036630D-3708-4CD3-8FB8-BC4411EB9762}" xr6:coauthVersionLast="36" xr6:coauthVersionMax="36" xr10:uidLastSave="{00000000-0000-0000-0000-000000000000}"/>
  <bookViews>
    <workbookView xWindow="0" yWindow="0" windowWidth="20490" windowHeight="7425" activeTab="3" xr2:uid="{00000000-000D-0000-FFFF-FFFF00000000}"/>
  </bookViews>
  <sheets>
    <sheet name="Organismo_Euler" sheetId="1" r:id="rId1"/>
    <sheet name="Organismo_Heun" sheetId="2" r:id="rId2"/>
    <sheet name="Pez_Euler" sheetId="3" r:id="rId3"/>
    <sheet name="Pez_Heun" sheetId="4" r:id="rId4"/>
  </sheets>
  <calcPr calcId="191029"/>
</workbook>
</file>

<file path=xl/calcChain.xml><?xml version="1.0" encoding="utf-8"?>
<calcChain xmlns="http://schemas.openxmlformats.org/spreadsheetml/2006/main">
  <c r="B13" i="4" l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A13" i="4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C12" i="4"/>
  <c r="B9" i="4"/>
  <c r="B8" i="4"/>
  <c r="B24" i="3"/>
  <c r="B25" i="3" s="1"/>
  <c r="B26" i="3" s="1"/>
  <c r="E20" i="3"/>
  <c r="B16" i="3"/>
  <c r="B17" i="3" s="1"/>
  <c r="B18" i="3" s="1"/>
  <c r="B19" i="3" s="1"/>
  <c r="B20" i="3" s="1"/>
  <c r="B21" i="3" s="1"/>
  <c r="B22" i="3" s="1"/>
  <c r="B23" i="3" s="1"/>
  <c r="E15" i="3"/>
  <c r="B14" i="3"/>
  <c r="B15" i="3" s="1"/>
  <c r="A14" i="3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C13" i="3"/>
  <c r="B13" i="3"/>
  <c r="A13" i="3"/>
  <c r="E12" i="3"/>
  <c r="F12" i="3" s="1"/>
  <c r="C12" i="3"/>
  <c r="D12" i="3" s="1"/>
  <c r="B9" i="3"/>
  <c r="B8" i="3"/>
  <c r="B13" i="2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D12" i="2"/>
  <c r="E12" i="2" s="1"/>
  <c r="F12" i="2" s="1"/>
  <c r="C12" i="2"/>
  <c r="C13" i="2" s="1"/>
  <c r="B9" i="2"/>
  <c r="B8" i="2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B13" i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A13" i="1"/>
  <c r="D12" i="1"/>
  <c r="C13" i="1" s="1"/>
  <c r="C12" i="1"/>
  <c r="B9" i="1"/>
  <c r="B8" i="1"/>
  <c r="B266" i="2" l="1"/>
  <c r="B267" i="2" s="1"/>
  <c r="G265" i="2"/>
  <c r="E134" i="1"/>
  <c r="B135" i="1"/>
  <c r="B136" i="1" s="1"/>
  <c r="B137" i="1" s="1"/>
  <c r="B138" i="1" s="1"/>
  <c r="B139" i="1" s="1"/>
  <c r="B140" i="1" s="1"/>
  <c r="B141" i="1" s="1"/>
  <c r="B142" i="1" s="1"/>
  <c r="F13" i="1"/>
  <c r="D13" i="1"/>
  <c r="C14" i="1" s="1"/>
  <c r="E12" i="1"/>
  <c r="F12" i="1" s="1"/>
  <c r="E14" i="1"/>
  <c r="E18" i="1"/>
  <c r="E22" i="1"/>
  <c r="E26" i="1"/>
  <c r="E30" i="1"/>
  <c r="E34" i="1"/>
  <c r="E38" i="1"/>
  <c r="E42" i="1"/>
  <c r="E46" i="1"/>
  <c r="E50" i="1"/>
  <c r="E54" i="1"/>
  <c r="E58" i="1"/>
  <c r="E62" i="1"/>
  <c r="E66" i="1"/>
  <c r="E70" i="1"/>
  <c r="E74" i="1"/>
  <c r="E78" i="1"/>
  <c r="E82" i="1"/>
  <c r="E86" i="1"/>
  <c r="E90" i="1"/>
  <c r="E94" i="1"/>
  <c r="E96" i="1"/>
  <c r="E100" i="1"/>
  <c r="E104" i="1"/>
  <c r="E108" i="1"/>
  <c r="E112" i="1"/>
  <c r="E116" i="1"/>
  <c r="E120" i="1"/>
  <c r="E124" i="1"/>
  <c r="E128" i="1"/>
  <c r="D13" i="2"/>
  <c r="E13" i="2" s="1"/>
  <c r="F13" i="2" s="1"/>
  <c r="C14" i="2" s="1"/>
  <c r="G112" i="4"/>
  <c r="G110" i="4"/>
  <c r="G108" i="4"/>
  <c r="G111" i="4"/>
  <c r="G105" i="4"/>
  <c r="G101" i="4"/>
  <c r="G97" i="4"/>
  <c r="G93" i="4"/>
  <c r="G90" i="4"/>
  <c r="G89" i="4"/>
  <c r="G82" i="4"/>
  <c r="G81" i="4"/>
  <c r="G74" i="4"/>
  <c r="G73" i="4"/>
  <c r="G69" i="4"/>
  <c r="G67" i="4"/>
  <c r="G65" i="4"/>
  <c r="G63" i="4"/>
  <c r="G61" i="4"/>
  <c r="G59" i="4"/>
  <c r="G106" i="4"/>
  <c r="G102" i="4"/>
  <c r="G98" i="4"/>
  <c r="G94" i="4"/>
  <c r="G88" i="4"/>
  <c r="G87" i="4"/>
  <c r="G80" i="4"/>
  <c r="G79" i="4"/>
  <c r="G72" i="4"/>
  <c r="G71" i="4"/>
  <c r="G107" i="4"/>
  <c r="G103" i="4"/>
  <c r="G99" i="4"/>
  <c r="G95" i="4"/>
  <c r="G86" i="4"/>
  <c r="G85" i="4"/>
  <c r="G78" i="4"/>
  <c r="G77" i="4"/>
  <c r="G70" i="4"/>
  <c r="G68" i="4"/>
  <c r="G66" i="4"/>
  <c r="G64" i="4"/>
  <c r="G62" i="4"/>
  <c r="G60" i="4"/>
  <c r="G109" i="4"/>
  <c r="G92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H12" i="4" s="1"/>
  <c r="G96" i="4"/>
  <c r="G91" i="4"/>
  <c r="G84" i="4"/>
  <c r="G57" i="4"/>
  <c r="G55" i="4"/>
  <c r="G53" i="4"/>
  <c r="G51" i="4"/>
  <c r="G49" i="4"/>
  <c r="G47" i="4"/>
  <c r="G45" i="4"/>
  <c r="G40" i="4"/>
  <c r="G38" i="4"/>
  <c r="G36" i="4"/>
  <c r="G100" i="4"/>
  <c r="G83" i="4"/>
  <c r="G76" i="4"/>
  <c r="G43" i="4"/>
  <c r="G42" i="4"/>
  <c r="G104" i="4"/>
  <c r="G75" i="4"/>
  <c r="G58" i="4"/>
  <c r="G56" i="4"/>
  <c r="G54" i="4"/>
  <c r="G52" i="4"/>
  <c r="G50" i="4"/>
  <c r="G48" i="4"/>
  <c r="G46" i="4"/>
  <c r="G44" i="4"/>
  <c r="G41" i="4"/>
  <c r="G39" i="4"/>
  <c r="G37" i="4"/>
  <c r="E130" i="1"/>
  <c r="E138" i="1"/>
  <c r="E141" i="1"/>
  <c r="E139" i="1"/>
  <c r="E137" i="1"/>
  <c r="E135" i="1"/>
  <c r="E133" i="1"/>
  <c r="E131" i="1"/>
  <c r="E129" i="1"/>
  <c r="E16" i="1"/>
  <c r="E20" i="1"/>
  <c r="E24" i="1"/>
  <c r="E28" i="1"/>
  <c r="E32" i="1"/>
  <c r="E36" i="1"/>
  <c r="E40" i="1"/>
  <c r="E44" i="1"/>
  <c r="E48" i="1"/>
  <c r="E52" i="1"/>
  <c r="E56" i="1"/>
  <c r="E60" i="1"/>
  <c r="E64" i="1"/>
  <c r="E68" i="1"/>
  <c r="E72" i="1"/>
  <c r="E76" i="1"/>
  <c r="E80" i="1"/>
  <c r="E84" i="1"/>
  <c r="E88" i="1"/>
  <c r="E92" i="1"/>
  <c r="E98" i="1"/>
  <c r="E102" i="1"/>
  <c r="E106" i="1"/>
  <c r="E110" i="1"/>
  <c r="E114" i="1"/>
  <c r="E118" i="1"/>
  <c r="E122" i="1"/>
  <c r="E126" i="1"/>
  <c r="E136" i="1"/>
  <c r="H13" i="2"/>
  <c r="E13" i="1"/>
  <c r="E15" i="1"/>
  <c r="E17" i="1"/>
  <c r="E19" i="1"/>
  <c r="E21" i="1"/>
  <c r="E23" i="1"/>
  <c r="E25" i="1"/>
  <c r="E27" i="1"/>
  <c r="E29" i="1"/>
  <c r="E31" i="1"/>
  <c r="E33" i="1"/>
  <c r="E35" i="1"/>
  <c r="E37" i="1"/>
  <c r="E39" i="1"/>
  <c r="E41" i="1"/>
  <c r="E43" i="1"/>
  <c r="E45" i="1"/>
  <c r="E47" i="1"/>
  <c r="E49" i="1"/>
  <c r="E51" i="1"/>
  <c r="E53" i="1"/>
  <c r="E55" i="1"/>
  <c r="E57" i="1"/>
  <c r="E59" i="1"/>
  <c r="E61" i="1"/>
  <c r="E63" i="1"/>
  <c r="E65" i="1"/>
  <c r="E67" i="1"/>
  <c r="E69" i="1"/>
  <c r="E71" i="1"/>
  <c r="E73" i="1"/>
  <c r="E75" i="1"/>
  <c r="E77" i="1"/>
  <c r="E79" i="1"/>
  <c r="E81" i="1"/>
  <c r="E83" i="1"/>
  <c r="E85" i="1"/>
  <c r="E87" i="1"/>
  <c r="E89" i="1"/>
  <c r="E91" i="1"/>
  <c r="E93" i="1"/>
  <c r="E95" i="1"/>
  <c r="E97" i="1"/>
  <c r="E99" i="1"/>
  <c r="E101" i="1"/>
  <c r="E103" i="1"/>
  <c r="E105" i="1"/>
  <c r="E107" i="1"/>
  <c r="E109" i="1"/>
  <c r="E111" i="1"/>
  <c r="E113" i="1"/>
  <c r="E115" i="1"/>
  <c r="E117" i="1"/>
  <c r="E119" i="1"/>
  <c r="E121" i="1"/>
  <c r="E123" i="1"/>
  <c r="E125" i="1"/>
  <c r="E127" i="1"/>
  <c r="E132" i="1"/>
  <c r="E140" i="1"/>
  <c r="D13" i="3"/>
  <c r="C14" i="3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263" i="2"/>
  <c r="G262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H12" i="2" s="1"/>
  <c r="G264" i="2"/>
  <c r="B27" i="3"/>
  <c r="E26" i="3"/>
  <c r="G266" i="2"/>
  <c r="E22" i="3"/>
  <c r="E21" i="3"/>
  <c r="E14" i="3"/>
  <c r="E13" i="3"/>
  <c r="F13" i="3" s="1"/>
  <c r="E23" i="3"/>
  <c r="E17" i="3"/>
  <c r="E16" i="3"/>
  <c r="E25" i="3"/>
  <c r="E24" i="3"/>
  <c r="E19" i="3"/>
  <c r="E18" i="3"/>
  <c r="C13" i="4"/>
  <c r="D12" i="4"/>
  <c r="E12" i="4" s="1"/>
  <c r="F12" i="4" s="1"/>
  <c r="D14" i="2" l="1"/>
  <c r="H14" i="2"/>
  <c r="F14" i="1"/>
  <c r="D14" i="1"/>
  <c r="C15" i="1" s="1"/>
  <c r="D14" i="3"/>
  <c r="C15" i="3" s="1"/>
  <c r="F14" i="3"/>
  <c r="B268" i="2"/>
  <c r="G267" i="2"/>
  <c r="H13" i="4"/>
  <c r="D13" i="4"/>
  <c r="B28" i="3"/>
  <c r="E27" i="3"/>
  <c r="E142" i="1"/>
  <c r="B143" i="1"/>
  <c r="F15" i="3" l="1"/>
  <c r="D15" i="3"/>
  <c r="C16" i="3" s="1"/>
  <c r="C15" i="2"/>
  <c r="C16" i="1"/>
  <c r="D15" i="1"/>
  <c r="F15" i="1"/>
  <c r="C14" i="4"/>
  <c r="B144" i="1"/>
  <c r="E143" i="1"/>
  <c r="B269" i="2"/>
  <c r="G268" i="2"/>
  <c r="E13" i="4"/>
  <c r="F13" i="4" s="1"/>
  <c r="E14" i="2"/>
  <c r="F14" i="2" s="1"/>
  <c r="B29" i="3"/>
  <c r="E28" i="3"/>
  <c r="D16" i="3" l="1"/>
  <c r="C17" i="3" s="1"/>
  <c r="F16" i="3"/>
  <c r="C16" i="2"/>
  <c r="E15" i="2"/>
  <c r="F15" i="2" s="1"/>
  <c r="D15" i="2"/>
  <c r="H15" i="2"/>
  <c r="B270" i="2"/>
  <c r="G269" i="2"/>
  <c r="H14" i="4"/>
  <c r="D14" i="4"/>
  <c r="B30" i="3"/>
  <c r="E29" i="3"/>
  <c r="B145" i="1"/>
  <c r="E144" i="1"/>
  <c r="D16" i="1"/>
  <c r="F16" i="1"/>
  <c r="C17" i="1"/>
  <c r="F17" i="3" l="1"/>
  <c r="D17" i="3"/>
  <c r="C18" i="3"/>
  <c r="C18" i="1"/>
  <c r="F17" i="1"/>
  <c r="D17" i="1"/>
  <c r="B146" i="1"/>
  <c r="E145" i="1"/>
  <c r="B271" i="2"/>
  <c r="G270" i="2"/>
  <c r="E16" i="2"/>
  <c r="F16" i="2" s="1"/>
  <c r="C17" i="2" s="1"/>
  <c r="D16" i="2"/>
  <c r="H16" i="2"/>
  <c r="E14" i="4"/>
  <c r="F14" i="4" s="1"/>
  <c r="C15" i="4" s="1"/>
  <c r="B31" i="3"/>
  <c r="E30" i="3"/>
  <c r="D17" i="2" l="1"/>
  <c r="H17" i="2"/>
  <c r="H15" i="4"/>
  <c r="D15" i="4"/>
  <c r="B147" i="1"/>
  <c r="E146" i="1"/>
  <c r="D18" i="3"/>
  <c r="C19" i="3" s="1"/>
  <c r="F18" i="3"/>
  <c r="B272" i="2"/>
  <c r="G271" i="2"/>
  <c r="B32" i="3"/>
  <c r="E31" i="3"/>
  <c r="F18" i="1"/>
  <c r="D18" i="1"/>
  <c r="C19" i="1" s="1"/>
  <c r="F19" i="3" l="1"/>
  <c r="D19" i="3"/>
  <c r="C20" i="3" s="1"/>
  <c r="D19" i="1"/>
  <c r="C20" i="1" s="1"/>
  <c r="F19" i="1"/>
  <c r="C18" i="2"/>
  <c r="B33" i="3"/>
  <c r="E32" i="3"/>
  <c r="G272" i="2"/>
  <c r="B273" i="2"/>
  <c r="E15" i="4"/>
  <c r="F15" i="4" s="1"/>
  <c r="C16" i="4" s="1"/>
  <c r="E17" i="2"/>
  <c r="F17" i="2" s="1"/>
  <c r="B148" i="1"/>
  <c r="E147" i="1"/>
  <c r="D20" i="1" l="1"/>
  <c r="F20" i="1"/>
  <c r="C21" i="1"/>
  <c r="H16" i="4"/>
  <c r="D16" i="4"/>
  <c r="E16" i="4" s="1"/>
  <c r="F16" i="4" s="1"/>
  <c r="C17" i="4" s="1"/>
  <c r="D20" i="3"/>
  <c r="C21" i="3" s="1"/>
  <c r="F20" i="3"/>
  <c r="B274" i="2"/>
  <c r="G273" i="2"/>
  <c r="D18" i="2"/>
  <c r="H18" i="2"/>
  <c r="B149" i="1"/>
  <c r="E148" i="1"/>
  <c r="B34" i="3"/>
  <c r="E33" i="3"/>
  <c r="F21" i="3" l="1"/>
  <c r="D21" i="3"/>
  <c r="C22" i="3" s="1"/>
  <c r="H17" i="4"/>
  <c r="D17" i="4"/>
  <c r="B35" i="3"/>
  <c r="E34" i="3"/>
  <c r="B275" i="2"/>
  <c r="G274" i="2"/>
  <c r="F21" i="1"/>
  <c r="D21" i="1"/>
  <c r="C22" i="1" s="1"/>
  <c r="E18" i="2"/>
  <c r="F18" i="2" s="1"/>
  <c r="C19" i="2" s="1"/>
  <c r="B150" i="1"/>
  <c r="E149" i="1"/>
  <c r="D19" i="2" l="1"/>
  <c r="H19" i="2"/>
  <c r="F22" i="1"/>
  <c r="D22" i="1"/>
  <c r="C23" i="1" s="1"/>
  <c r="D22" i="3"/>
  <c r="C23" i="3"/>
  <c r="F22" i="3"/>
  <c r="B276" i="2"/>
  <c r="G275" i="2"/>
  <c r="E17" i="4"/>
  <c r="F17" i="4" s="1"/>
  <c r="C18" i="4" s="1"/>
  <c r="E150" i="1"/>
  <c r="B151" i="1"/>
  <c r="B36" i="3"/>
  <c r="E35" i="3"/>
  <c r="D23" i="1" l="1"/>
  <c r="C24" i="1" s="1"/>
  <c r="F23" i="1"/>
  <c r="H18" i="4"/>
  <c r="D18" i="4"/>
  <c r="E18" i="4" s="1"/>
  <c r="F18" i="4" s="1"/>
  <c r="C19" i="4" s="1"/>
  <c r="C20" i="2"/>
  <c r="B152" i="1"/>
  <c r="E151" i="1"/>
  <c r="B277" i="2"/>
  <c r="G276" i="2"/>
  <c r="E19" i="2"/>
  <c r="F19" i="2" s="1"/>
  <c r="F23" i="3"/>
  <c r="D23" i="3"/>
  <c r="C24" i="3" s="1"/>
  <c r="B37" i="3"/>
  <c r="E36" i="3"/>
  <c r="D24" i="3" l="1"/>
  <c r="C25" i="3"/>
  <c r="F24" i="3"/>
  <c r="H19" i="4"/>
  <c r="D19" i="4"/>
  <c r="E19" i="4" s="1"/>
  <c r="F19" i="4" s="1"/>
  <c r="C20" i="4" s="1"/>
  <c r="D24" i="1"/>
  <c r="C25" i="1" s="1"/>
  <c r="F24" i="1"/>
  <c r="E20" i="2"/>
  <c r="F20" i="2" s="1"/>
  <c r="C21" i="2" s="1"/>
  <c r="D20" i="2"/>
  <c r="H20" i="2"/>
  <c r="B278" i="2"/>
  <c r="G277" i="2"/>
  <c r="B38" i="3"/>
  <c r="E37" i="3"/>
  <c r="B153" i="1"/>
  <c r="E152" i="1"/>
  <c r="D21" i="2" l="1"/>
  <c r="H21" i="2"/>
  <c r="F25" i="1"/>
  <c r="D25" i="1"/>
  <c r="C26" i="1" s="1"/>
  <c r="H20" i="4"/>
  <c r="D20" i="4"/>
  <c r="E20" i="4" s="1"/>
  <c r="F20" i="4" s="1"/>
  <c r="C21" i="4" s="1"/>
  <c r="B154" i="1"/>
  <c r="E153" i="1"/>
  <c r="B279" i="2"/>
  <c r="G278" i="2"/>
  <c r="F25" i="3"/>
  <c r="C26" i="3"/>
  <c r="D25" i="3"/>
  <c r="B39" i="3"/>
  <c r="E38" i="3"/>
  <c r="F26" i="1" l="1"/>
  <c r="D26" i="1"/>
  <c r="C27" i="1" s="1"/>
  <c r="H21" i="4"/>
  <c r="D21" i="4"/>
  <c r="E21" i="4" s="1"/>
  <c r="F21" i="4" s="1"/>
  <c r="C22" i="4" s="1"/>
  <c r="C22" i="2"/>
  <c r="B155" i="1"/>
  <c r="E154" i="1"/>
  <c r="B40" i="3"/>
  <c r="E39" i="3"/>
  <c r="B280" i="2"/>
  <c r="G279" i="2"/>
  <c r="E21" i="2"/>
  <c r="F21" i="2" s="1"/>
  <c r="D26" i="3"/>
  <c r="C27" i="3" s="1"/>
  <c r="F26" i="3"/>
  <c r="H22" i="4" l="1"/>
  <c r="D22" i="4"/>
  <c r="C28" i="1"/>
  <c r="D27" i="1"/>
  <c r="F27" i="1"/>
  <c r="F27" i="3"/>
  <c r="C28" i="3"/>
  <c r="D27" i="3"/>
  <c r="E22" i="2"/>
  <c r="F22" i="2" s="1"/>
  <c r="D22" i="2"/>
  <c r="C23" i="2" s="1"/>
  <c r="H22" i="2"/>
  <c r="B41" i="3"/>
  <c r="E40" i="3"/>
  <c r="B281" i="2"/>
  <c r="G280" i="2"/>
  <c r="B156" i="1"/>
  <c r="E155" i="1"/>
  <c r="D23" i="2" l="1"/>
  <c r="H23" i="2"/>
  <c r="B157" i="1"/>
  <c r="E156" i="1"/>
  <c r="B42" i="3"/>
  <c r="E41" i="3"/>
  <c r="E22" i="4"/>
  <c r="F22" i="4" s="1"/>
  <c r="C23" i="4" s="1"/>
  <c r="B282" i="2"/>
  <c r="G281" i="2"/>
  <c r="D28" i="3"/>
  <c r="F28" i="3"/>
  <c r="C29" i="3"/>
  <c r="D28" i="1"/>
  <c r="C29" i="1" s="1"/>
  <c r="F28" i="1"/>
  <c r="H23" i="4" l="1"/>
  <c r="D23" i="4"/>
  <c r="F29" i="1"/>
  <c r="D29" i="1"/>
  <c r="C30" i="1" s="1"/>
  <c r="C24" i="2"/>
  <c r="B43" i="3"/>
  <c r="E42" i="3"/>
  <c r="F29" i="3"/>
  <c r="D29" i="3"/>
  <c r="C30" i="3" s="1"/>
  <c r="B283" i="2"/>
  <c r="G282" i="2"/>
  <c r="B158" i="1"/>
  <c r="E157" i="1"/>
  <c r="E23" i="2"/>
  <c r="F23" i="2" s="1"/>
  <c r="F30" i="1" l="1"/>
  <c r="D30" i="1"/>
  <c r="C31" i="1" s="1"/>
  <c r="D30" i="3"/>
  <c r="F30" i="3"/>
  <c r="C31" i="3"/>
  <c r="E158" i="1"/>
  <c r="B159" i="1"/>
  <c r="D24" i="2"/>
  <c r="H24" i="2"/>
  <c r="B284" i="2"/>
  <c r="G283" i="2"/>
  <c r="E23" i="4"/>
  <c r="F23" i="4" s="1"/>
  <c r="C24" i="4" s="1"/>
  <c r="B44" i="3"/>
  <c r="E43" i="3"/>
  <c r="H24" i="4" l="1"/>
  <c r="D24" i="4"/>
  <c r="F31" i="1"/>
  <c r="D31" i="1"/>
  <c r="C32" i="1" s="1"/>
  <c r="E24" i="2"/>
  <c r="F24" i="2" s="1"/>
  <c r="C25" i="2" s="1"/>
  <c r="F31" i="3"/>
  <c r="D31" i="3"/>
  <c r="C32" i="3" s="1"/>
  <c r="B285" i="2"/>
  <c r="G284" i="2"/>
  <c r="B45" i="3"/>
  <c r="E44" i="3"/>
  <c r="B160" i="1"/>
  <c r="E159" i="1"/>
  <c r="F32" i="1" l="1"/>
  <c r="D32" i="1"/>
  <c r="C33" i="1" s="1"/>
  <c r="D32" i="3"/>
  <c r="C33" i="3" s="1"/>
  <c r="F32" i="3"/>
  <c r="C25" i="4"/>
  <c r="D25" i="2"/>
  <c r="E25" i="2" s="1"/>
  <c r="F25" i="2" s="1"/>
  <c r="C26" i="2" s="1"/>
  <c r="H25" i="2"/>
  <c r="B46" i="3"/>
  <c r="E45" i="3"/>
  <c r="E24" i="4"/>
  <c r="F24" i="4" s="1"/>
  <c r="B161" i="1"/>
  <c r="E160" i="1"/>
  <c r="B286" i="2"/>
  <c r="G285" i="2"/>
  <c r="F33" i="3" l="1"/>
  <c r="C34" i="3"/>
  <c r="D33" i="3"/>
  <c r="E26" i="2"/>
  <c r="F26" i="2" s="1"/>
  <c r="D26" i="2"/>
  <c r="C27" i="2" s="1"/>
  <c r="H26" i="2"/>
  <c r="D33" i="1"/>
  <c r="C34" i="1" s="1"/>
  <c r="F33" i="1"/>
  <c r="B47" i="3"/>
  <c r="E46" i="3"/>
  <c r="B162" i="1"/>
  <c r="E161" i="1"/>
  <c r="H25" i="4"/>
  <c r="D25" i="4"/>
  <c r="B287" i="2"/>
  <c r="G286" i="2"/>
  <c r="E27" i="2" l="1"/>
  <c r="F27" i="2" s="1"/>
  <c r="C28" i="2" s="1"/>
  <c r="D27" i="2"/>
  <c r="H27" i="2"/>
  <c r="D34" i="1"/>
  <c r="C35" i="1" s="1"/>
  <c r="F34" i="1"/>
  <c r="E25" i="4"/>
  <c r="F25" i="4" s="1"/>
  <c r="C26" i="4" s="1"/>
  <c r="B288" i="2"/>
  <c r="G287" i="2"/>
  <c r="B48" i="3"/>
  <c r="E47" i="3"/>
  <c r="B163" i="1"/>
  <c r="E162" i="1"/>
  <c r="D34" i="3"/>
  <c r="C35" i="3"/>
  <c r="F34" i="3"/>
  <c r="D28" i="2" l="1"/>
  <c r="H28" i="2"/>
  <c r="F35" i="1"/>
  <c r="D35" i="1"/>
  <c r="C36" i="1" s="1"/>
  <c r="H26" i="4"/>
  <c r="D26" i="4"/>
  <c r="E26" i="4" s="1"/>
  <c r="F26" i="4" s="1"/>
  <c r="C27" i="4" s="1"/>
  <c r="G288" i="2"/>
  <c r="B289" i="2"/>
  <c r="F35" i="3"/>
  <c r="D35" i="3"/>
  <c r="C36" i="3" s="1"/>
  <c r="B49" i="3"/>
  <c r="E48" i="3"/>
  <c r="B164" i="1"/>
  <c r="E163" i="1"/>
  <c r="F36" i="1" l="1"/>
  <c r="C37" i="1"/>
  <c r="D36" i="1"/>
  <c r="D36" i="3"/>
  <c r="F36" i="3"/>
  <c r="C37" i="3"/>
  <c r="H27" i="4"/>
  <c r="D27" i="4"/>
  <c r="E28" i="2"/>
  <c r="F28" i="2" s="1"/>
  <c r="C29" i="2" s="1"/>
  <c r="B165" i="1"/>
  <c r="E164" i="1"/>
  <c r="B50" i="3"/>
  <c r="E49" i="3"/>
  <c r="B290" i="2"/>
  <c r="G289" i="2"/>
  <c r="E29" i="2" l="1"/>
  <c r="F29" i="2" s="1"/>
  <c r="C30" i="2" s="1"/>
  <c r="D29" i="2"/>
  <c r="H29" i="2"/>
  <c r="E27" i="4"/>
  <c r="F27" i="4" s="1"/>
  <c r="C28" i="4" s="1"/>
  <c r="B51" i="3"/>
  <c r="E50" i="3"/>
  <c r="F37" i="3"/>
  <c r="C38" i="3"/>
  <c r="D37" i="3"/>
  <c r="C38" i="1"/>
  <c r="D37" i="1"/>
  <c r="F37" i="1"/>
  <c r="B291" i="2"/>
  <c r="G290" i="2"/>
  <c r="B166" i="1"/>
  <c r="E165" i="1"/>
  <c r="H28" i="4" l="1"/>
  <c r="D28" i="4"/>
  <c r="E30" i="2"/>
  <c r="F30" i="2" s="1"/>
  <c r="D30" i="2"/>
  <c r="C31" i="2" s="1"/>
  <c r="H30" i="2"/>
  <c r="D38" i="1"/>
  <c r="C39" i="1" s="1"/>
  <c r="F38" i="1"/>
  <c r="B292" i="2"/>
  <c r="G291" i="2"/>
  <c r="B52" i="3"/>
  <c r="E51" i="3"/>
  <c r="D38" i="3"/>
  <c r="C39" i="3" s="1"/>
  <c r="F38" i="3"/>
  <c r="E166" i="1"/>
  <c r="B167" i="1"/>
  <c r="F39" i="3" l="1"/>
  <c r="D39" i="3"/>
  <c r="C40" i="3" s="1"/>
  <c r="C32" i="2"/>
  <c r="E31" i="2"/>
  <c r="F31" i="2" s="1"/>
  <c r="D31" i="2"/>
  <c r="H31" i="2"/>
  <c r="C40" i="1"/>
  <c r="F39" i="1"/>
  <c r="D39" i="1"/>
  <c r="B168" i="1"/>
  <c r="E167" i="1"/>
  <c r="B293" i="2"/>
  <c r="G292" i="2"/>
  <c r="E28" i="4"/>
  <c r="F28" i="4" s="1"/>
  <c r="C29" i="4" s="1"/>
  <c r="B53" i="3"/>
  <c r="E52" i="3"/>
  <c r="H29" i="4" l="1"/>
  <c r="D29" i="4"/>
  <c r="D40" i="3"/>
  <c r="C41" i="3"/>
  <c r="F40" i="3"/>
  <c r="B169" i="1"/>
  <c r="E168" i="1"/>
  <c r="F40" i="1"/>
  <c r="D40" i="1"/>
  <c r="C41" i="1" s="1"/>
  <c r="E32" i="2"/>
  <c r="F32" i="2" s="1"/>
  <c r="C33" i="2" s="1"/>
  <c r="D32" i="2"/>
  <c r="H32" i="2"/>
  <c r="B294" i="2"/>
  <c r="G293" i="2"/>
  <c r="B54" i="3"/>
  <c r="E53" i="3"/>
  <c r="E33" i="2" l="1"/>
  <c r="F33" i="2" s="1"/>
  <c r="C34" i="2" s="1"/>
  <c r="D33" i="2"/>
  <c r="H33" i="2"/>
  <c r="D41" i="1"/>
  <c r="C42" i="1" s="1"/>
  <c r="F41" i="1"/>
  <c r="B170" i="1"/>
  <c r="E169" i="1"/>
  <c r="B55" i="3"/>
  <c r="E54" i="3"/>
  <c r="F41" i="3"/>
  <c r="C42" i="3"/>
  <c r="D41" i="3"/>
  <c r="E29" i="4"/>
  <c r="F29" i="4" s="1"/>
  <c r="C30" i="4" s="1"/>
  <c r="B295" i="2"/>
  <c r="G294" i="2"/>
  <c r="H30" i="4" l="1"/>
  <c r="D30" i="4"/>
  <c r="D42" i="1"/>
  <c r="C43" i="1" s="1"/>
  <c r="F42" i="1"/>
  <c r="D34" i="2"/>
  <c r="E34" i="2" s="1"/>
  <c r="F34" i="2" s="1"/>
  <c r="H34" i="2"/>
  <c r="B56" i="3"/>
  <c r="E55" i="3"/>
  <c r="D42" i="3"/>
  <c r="C43" i="3" s="1"/>
  <c r="F42" i="3"/>
  <c r="B296" i="2"/>
  <c r="G295" i="2"/>
  <c r="B171" i="1"/>
  <c r="E170" i="1"/>
  <c r="F43" i="3" l="1"/>
  <c r="D43" i="3"/>
  <c r="C44" i="3"/>
  <c r="F43" i="1"/>
  <c r="D43" i="1"/>
  <c r="C44" i="1" s="1"/>
  <c r="B57" i="3"/>
  <c r="E56" i="3"/>
  <c r="C35" i="2"/>
  <c r="B172" i="1"/>
  <c r="E171" i="1"/>
  <c r="E30" i="4"/>
  <c r="F30" i="4" s="1"/>
  <c r="C31" i="4" s="1"/>
  <c r="B297" i="2"/>
  <c r="G296" i="2"/>
  <c r="H31" i="4" l="1"/>
  <c r="D31" i="4"/>
  <c r="F44" i="1"/>
  <c r="C45" i="1"/>
  <c r="D44" i="1"/>
  <c r="B173" i="1"/>
  <c r="E172" i="1"/>
  <c r="B58" i="3"/>
  <c r="E57" i="3"/>
  <c r="B298" i="2"/>
  <c r="G297" i="2"/>
  <c r="D44" i="3"/>
  <c r="F44" i="3"/>
  <c r="C45" i="3"/>
  <c r="E35" i="2"/>
  <c r="F35" i="2" s="1"/>
  <c r="C36" i="2" s="1"/>
  <c r="D35" i="2"/>
  <c r="H35" i="2"/>
  <c r="E36" i="2" l="1"/>
  <c r="F36" i="2" s="1"/>
  <c r="D36" i="2"/>
  <c r="C37" i="2" s="1"/>
  <c r="H36" i="2"/>
  <c r="F45" i="3"/>
  <c r="D45" i="3"/>
  <c r="C46" i="3"/>
  <c r="B174" i="1"/>
  <c r="E173" i="1"/>
  <c r="B299" i="2"/>
  <c r="G298" i="2"/>
  <c r="B59" i="3"/>
  <c r="E58" i="3"/>
  <c r="D45" i="1"/>
  <c r="C46" i="1" s="1"/>
  <c r="F45" i="1"/>
  <c r="E31" i="4"/>
  <c r="F31" i="4" s="1"/>
  <c r="C32" i="4" s="1"/>
  <c r="D46" i="1" l="1"/>
  <c r="C47" i="1" s="1"/>
  <c r="F46" i="1"/>
  <c r="H32" i="4"/>
  <c r="D32" i="4"/>
  <c r="E32" i="4" s="1"/>
  <c r="F32" i="4" s="1"/>
  <c r="D37" i="2"/>
  <c r="E37" i="2" s="1"/>
  <c r="F37" i="2" s="1"/>
  <c r="H37" i="2"/>
  <c r="D46" i="3"/>
  <c r="F46" i="3"/>
  <c r="C47" i="3"/>
  <c r="B300" i="2"/>
  <c r="G299" i="2"/>
  <c r="B60" i="3"/>
  <c r="E59" i="3"/>
  <c r="B175" i="1"/>
  <c r="E174" i="1"/>
  <c r="C48" i="1" l="1"/>
  <c r="F47" i="1"/>
  <c r="D47" i="1"/>
  <c r="B301" i="2"/>
  <c r="G300" i="2"/>
  <c r="C38" i="2"/>
  <c r="C33" i="4"/>
  <c r="F47" i="3"/>
  <c r="C48" i="3"/>
  <c r="D47" i="3"/>
  <c r="B176" i="1"/>
  <c r="E175" i="1"/>
  <c r="B61" i="3"/>
  <c r="E60" i="3"/>
  <c r="B62" i="3" l="1"/>
  <c r="E61" i="3"/>
  <c r="D48" i="3"/>
  <c r="C49" i="3"/>
  <c r="F48" i="3"/>
  <c r="F48" i="1"/>
  <c r="D48" i="1"/>
  <c r="C49" i="1" s="1"/>
  <c r="B302" i="2"/>
  <c r="G301" i="2"/>
  <c r="B177" i="1"/>
  <c r="E176" i="1"/>
  <c r="E33" i="4"/>
  <c r="F33" i="4" s="1"/>
  <c r="C34" i="4" s="1"/>
  <c r="H33" i="4"/>
  <c r="D33" i="4"/>
  <c r="E38" i="2"/>
  <c r="F38" i="2" s="1"/>
  <c r="C39" i="2" s="1"/>
  <c r="D38" i="2"/>
  <c r="H38" i="2"/>
  <c r="E34" i="4" l="1"/>
  <c r="F34" i="4" s="1"/>
  <c r="H34" i="4"/>
  <c r="D34" i="4"/>
  <c r="C35" i="4" s="1"/>
  <c r="D39" i="2"/>
  <c r="H39" i="2"/>
  <c r="D49" i="1"/>
  <c r="C50" i="1" s="1"/>
  <c r="F49" i="1"/>
  <c r="B303" i="2"/>
  <c r="G302" i="2"/>
  <c r="F49" i="3"/>
  <c r="C50" i="3"/>
  <c r="D49" i="3"/>
  <c r="B178" i="1"/>
  <c r="E177" i="1"/>
  <c r="B63" i="3"/>
  <c r="E62" i="3"/>
  <c r="D50" i="1" l="1"/>
  <c r="C51" i="1" s="1"/>
  <c r="F50" i="1"/>
  <c r="E35" i="4"/>
  <c r="F35" i="4" s="1"/>
  <c r="H35" i="4"/>
  <c r="D35" i="4"/>
  <c r="C36" i="4" s="1"/>
  <c r="E39" i="2"/>
  <c r="F39" i="2" s="1"/>
  <c r="C40" i="2" s="1"/>
  <c r="B304" i="2"/>
  <c r="G303" i="2"/>
  <c r="B64" i="3"/>
  <c r="E63" i="3"/>
  <c r="D50" i="3"/>
  <c r="C51" i="3"/>
  <c r="F50" i="3"/>
  <c r="B179" i="1"/>
  <c r="E178" i="1"/>
  <c r="D40" i="2" l="1"/>
  <c r="H40" i="2"/>
  <c r="H36" i="4"/>
  <c r="E36" i="4"/>
  <c r="F36" i="4" s="1"/>
  <c r="C37" i="4" s="1"/>
  <c r="D36" i="4"/>
  <c r="D51" i="1"/>
  <c r="C52" i="1" s="1"/>
  <c r="F51" i="1"/>
  <c r="B305" i="2"/>
  <c r="G304" i="2"/>
  <c r="B180" i="1"/>
  <c r="E179" i="1"/>
  <c r="B65" i="3"/>
  <c r="E64" i="3"/>
  <c r="F51" i="3"/>
  <c r="C52" i="3"/>
  <c r="D51" i="3"/>
  <c r="D37" i="4" l="1"/>
  <c r="H37" i="4"/>
  <c r="D52" i="1"/>
  <c r="F52" i="1"/>
  <c r="C53" i="1"/>
  <c r="B66" i="3"/>
  <c r="E65" i="3"/>
  <c r="B306" i="2"/>
  <c r="G305" i="2"/>
  <c r="B181" i="1"/>
  <c r="E180" i="1"/>
  <c r="E40" i="2"/>
  <c r="F40" i="2" s="1"/>
  <c r="C41" i="2" s="1"/>
  <c r="D52" i="3"/>
  <c r="F52" i="3"/>
  <c r="C53" i="3"/>
  <c r="D41" i="2" l="1"/>
  <c r="H41" i="2"/>
  <c r="B307" i="2"/>
  <c r="G306" i="2"/>
  <c r="C54" i="1"/>
  <c r="F53" i="1"/>
  <c r="D53" i="1"/>
  <c r="E37" i="4"/>
  <c r="F37" i="4" s="1"/>
  <c r="C38" i="4" s="1"/>
  <c r="F53" i="3"/>
  <c r="D53" i="3"/>
  <c r="C54" i="3" s="1"/>
  <c r="B182" i="1"/>
  <c r="E181" i="1"/>
  <c r="B67" i="3"/>
  <c r="E66" i="3"/>
  <c r="H38" i="4" l="1"/>
  <c r="D38" i="4"/>
  <c r="D54" i="3"/>
  <c r="F54" i="3"/>
  <c r="C55" i="3"/>
  <c r="D54" i="1"/>
  <c r="C55" i="1" s="1"/>
  <c r="F54" i="1"/>
  <c r="B183" i="1"/>
  <c r="E182" i="1"/>
  <c r="B308" i="2"/>
  <c r="G307" i="2"/>
  <c r="E41" i="2"/>
  <c r="F41" i="2" s="1"/>
  <c r="C42" i="2" s="1"/>
  <c r="B68" i="3"/>
  <c r="E67" i="3"/>
  <c r="D42" i="2" l="1"/>
  <c r="H42" i="2"/>
  <c r="F55" i="1"/>
  <c r="D55" i="1"/>
  <c r="C56" i="1" s="1"/>
  <c r="F55" i="3"/>
  <c r="D55" i="3"/>
  <c r="C56" i="3" s="1"/>
  <c r="E38" i="4"/>
  <c r="F38" i="4" s="1"/>
  <c r="C39" i="4" s="1"/>
  <c r="B309" i="2"/>
  <c r="G308" i="2"/>
  <c r="B184" i="1"/>
  <c r="E183" i="1"/>
  <c r="B69" i="3"/>
  <c r="E68" i="3"/>
  <c r="F56" i="1" l="1"/>
  <c r="D56" i="1"/>
  <c r="C57" i="1" s="1"/>
  <c r="D39" i="4"/>
  <c r="E39" i="4" s="1"/>
  <c r="F39" i="4" s="1"/>
  <c r="C40" i="4" s="1"/>
  <c r="H39" i="4"/>
  <c r="D56" i="3"/>
  <c r="C57" i="3" s="1"/>
  <c r="F56" i="3"/>
  <c r="C43" i="2"/>
  <c r="B185" i="1"/>
  <c r="E184" i="1"/>
  <c r="E42" i="2"/>
  <c r="F42" i="2" s="1"/>
  <c r="B70" i="3"/>
  <c r="E69" i="3"/>
  <c r="B310" i="2"/>
  <c r="G309" i="2"/>
  <c r="F57" i="3" l="1"/>
  <c r="C58" i="3"/>
  <c r="D57" i="3"/>
  <c r="H40" i="4"/>
  <c r="E40" i="4"/>
  <c r="F40" i="4" s="1"/>
  <c r="C41" i="4" s="1"/>
  <c r="D40" i="4"/>
  <c r="F57" i="1"/>
  <c r="D57" i="1"/>
  <c r="C58" i="1" s="1"/>
  <c r="B71" i="3"/>
  <c r="E70" i="3"/>
  <c r="B186" i="1"/>
  <c r="E185" i="1"/>
  <c r="D43" i="2"/>
  <c r="H43" i="2"/>
  <c r="B311" i="2"/>
  <c r="G310" i="2"/>
  <c r="D41" i="4" l="1"/>
  <c r="H41" i="4"/>
  <c r="C59" i="1"/>
  <c r="D58" i="1"/>
  <c r="F58" i="1"/>
  <c r="E43" i="2"/>
  <c r="F43" i="2" s="1"/>
  <c r="C44" i="2" s="1"/>
  <c r="B312" i="2"/>
  <c r="G311" i="2"/>
  <c r="B72" i="3"/>
  <c r="E71" i="3"/>
  <c r="D58" i="3"/>
  <c r="C59" i="3" s="1"/>
  <c r="F58" i="3"/>
  <c r="B187" i="1"/>
  <c r="E186" i="1"/>
  <c r="E44" i="2" l="1"/>
  <c r="F44" i="2" s="1"/>
  <c r="C45" i="2" s="1"/>
  <c r="D44" i="2"/>
  <c r="H44" i="2"/>
  <c r="F59" i="3"/>
  <c r="D59" i="3"/>
  <c r="C60" i="3" s="1"/>
  <c r="C42" i="4"/>
  <c r="B73" i="3"/>
  <c r="E72" i="3"/>
  <c r="E41" i="4"/>
  <c r="F41" i="4" s="1"/>
  <c r="B313" i="2"/>
  <c r="G312" i="2"/>
  <c r="C60" i="1"/>
  <c r="F59" i="1"/>
  <c r="D59" i="1"/>
  <c r="B188" i="1"/>
  <c r="E187" i="1"/>
  <c r="D60" i="3" l="1"/>
  <c r="F60" i="3"/>
  <c r="C61" i="3"/>
  <c r="C46" i="2"/>
  <c r="E45" i="2"/>
  <c r="F45" i="2" s="1"/>
  <c r="D45" i="2"/>
  <c r="H45" i="2"/>
  <c r="D60" i="1"/>
  <c r="C61" i="1" s="1"/>
  <c r="F60" i="1"/>
  <c r="B314" i="2"/>
  <c r="G313" i="2"/>
  <c r="H42" i="4"/>
  <c r="D42" i="4"/>
  <c r="E42" i="4"/>
  <c r="F42" i="4" s="1"/>
  <c r="C43" i="4" s="1"/>
  <c r="B189" i="1"/>
  <c r="E188" i="1"/>
  <c r="B74" i="3"/>
  <c r="E73" i="3"/>
  <c r="F61" i="1" l="1"/>
  <c r="D61" i="1"/>
  <c r="C62" i="1" s="1"/>
  <c r="H43" i="4"/>
  <c r="D43" i="4"/>
  <c r="C44" i="4" s="1"/>
  <c r="E43" i="4"/>
  <c r="F43" i="4" s="1"/>
  <c r="B75" i="3"/>
  <c r="E74" i="3"/>
  <c r="B315" i="2"/>
  <c r="G314" i="2"/>
  <c r="F61" i="3"/>
  <c r="D61" i="3"/>
  <c r="C62" i="3" s="1"/>
  <c r="E46" i="2"/>
  <c r="F46" i="2" s="1"/>
  <c r="D46" i="2"/>
  <c r="C47" i="2" s="1"/>
  <c r="H46" i="2"/>
  <c r="B190" i="1"/>
  <c r="E189" i="1"/>
  <c r="H44" i="4" l="1"/>
  <c r="D44" i="4"/>
  <c r="E44" i="4" s="1"/>
  <c r="F44" i="4" s="1"/>
  <c r="C45" i="4" s="1"/>
  <c r="D62" i="3"/>
  <c r="F62" i="3"/>
  <c r="C63" i="3"/>
  <c r="C63" i="1"/>
  <c r="D62" i="1"/>
  <c r="F62" i="1"/>
  <c r="E47" i="2"/>
  <c r="F47" i="2" s="1"/>
  <c r="C48" i="2" s="1"/>
  <c r="D47" i="2"/>
  <c r="H47" i="2"/>
  <c r="B76" i="3"/>
  <c r="E75" i="3"/>
  <c r="B191" i="1"/>
  <c r="E190" i="1"/>
  <c r="B316" i="2"/>
  <c r="G315" i="2"/>
  <c r="H45" i="4" l="1"/>
  <c r="D45" i="4"/>
  <c r="E45" i="4" s="1"/>
  <c r="F45" i="4" s="1"/>
  <c r="C46" i="4" s="1"/>
  <c r="D48" i="2"/>
  <c r="H48" i="2"/>
  <c r="F63" i="1"/>
  <c r="D63" i="1"/>
  <c r="C64" i="1" s="1"/>
  <c r="B317" i="2"/>
  <c r="G316" i="2"/>
  <c r="F63" i="3"/>
  <c r="D63" i="3"/>
  <c r="C64" i="3" s="1"/>
  <c r="B77" i="3"/>
  <c r="E76" i="3"/>
  <c r="B192" i="1"/>
  <c r="E191" i="1"/>
  <c r="D64" i="3" l="1"/>
  <c r="C65" i="3"/>
  <c r="F64" i="3"/>
  <c r="D64" i="1"/>
  <c r="F64" i="1"/>
  <c r="C65" i="1"/>
  <c r="E46" i="4"/>
  <c r="F46" i="4" s="1"/>
  <c r="C47" i="4" s="1"/>
  <c r="H46" i="4"/>
  <c r="D46" i="4"/>
  <c r="B318" i="2"/>
  <c r="G317" i="2"/>
  <c r="B193" i="1"/>
  <c r="E192" i="1"/>
  <c r="E48" i="2"/>
  <c r="F48" i="2" s="1"/>
  <c r="C49" i="2" s="1"/>
  <c r="B78" i="3"/>
  <c r="E77" i="3"/>
  <c r="H47" i="4" l="1"/>
  <c r="D47" i="4"/>
  <c r="E47" i="4" s="1"/>
  <c r="F47" i="4" s="1"/>
  <c r="C48" i="4" s="1"/>
  <c r="D49" i="2"/>
  <c r="H49" i="2"/>
  <c r="B319" i="2"/>
  <c r="G318" i="2"/>
  <c r="F65" i="1"/>
  <c r="D65" i="1"/>
  <c r="C66" i="1" s="1"/>
  <c r="F65" i="3"/>
  <c r="D65" i="3"/>
  <c r="C66" i="3" s="1"/>
  <c r="B194" i="1"/>
  <c r="E193" i="1"/>
  <c r="B79" i="3"/>
  <c r="E78" i="3"/>
  <c r="C67" i="1" l="1"/>
  <c r="D66" i="1"/>
  <c r="F66" i="1"/>
  <c r="C50" i="2"/>
  <c r="D66" i="3"/>
  <c r="C67" i="3" s="1"/>
  <c r="F66" i="3"/>
  <c r="E48" i="4"/>
  <c r="F48" i="4" s="1"/>
  <c r="C49" i="4" s="1"/>
  <c r="H48" i="4"/>
  <c r="D48" i="4"/>
  <c r="B80" i="3"/>
  <c r="E79" i="3"/>
  <c r="E49" i="2"/>
  <c r="F49" i="2" s="1"/>
  <c r="B195" i="1"/>
  <c r="E194" i="1"/>
  <c r="B320" i="2"/>
  <c r="G319" i="2"/>
  <c r="H49" i="4" l="1"/>
  <c r="D49" i="4"/>
  <c r="E49" i="4" s="1"/>
  <c r="F49" i="4" s="1"/>
  <c r="C50" i="4" s="1"/>
  <c r="F67" i="3"/>
  <c r="D67" i="3"/>
  <c r="C68" i="3" s="1"/>
  <c r="B321" i="2"/>
  <c r="G320" i="2"/>
  <c r="F67" i="1"/>
  <c r="D67" i="1"/>
  <c r="C68" i="1" s="1"/>
  <c r="B81" i="3"/>
  <c r="E80" i="3"/>
  <c r="E50" i="2"/>
  <c r="F50" i="2" s="1"/>
  <c r="C51" i="2" s="1"/>
  <c r="D50" i="2"/>
  <c r="H50" i="2"/>
  <c r="B196" i="1"/>
  <c r="E195" i="1"/>
  <c r="D68" i="1" l="1"/>
  <c r="F68" i="1"/>
  <c r="C69" i="1"/>
  <c r="D68" i="3"/>
  <c r="C69" i="3" s="1"/>
  <c r="F68" i="3"/>
  <c r="E51" i="2"/>
  <c r="F51" i="2" s="1"/>
  <c r="D51" i="2"/>
  <c r="C52" i="2" s="1"/>
  <c r="H51" i="2"/>
  <c r="H50" i="4"/>
  <c r="D50" i="4"/>
  <c r="B322" i="2"/>
  <c r="G321" i="2"/>
  <c r="B197" i="1"/>
  <c r="E196" i="1"/>
  <c r="B82" i="3"/>
  <c r="E81" i="3"/>
  <c r="F69" i="3" l="1"/>
  <c r="D69" i="3"/>
  <c r="C70" i="3" s="1"/>
  <c r="C53" i="2"/>
  <c r="E52" i="2"/>
  <c r="F52" i="2" s="1"/>
  <c r="D52" i="2"/>
  <c r="H52" i="2"/>
  <c r="C51" i="4"/>
  <c r="B83" i="3"/>
  <c r="E82" i="3"/>
  <c r="B323" i="2"/>
  <c r="G322" i="2"/>
  <c r="E50" i="4"/>
  <c r="F50" i="4" s="1"/>
  <c r="F69" i="1"/>
  <c r="D69" i="1"/>
  <c r="C70" i="1" s="1"/>
  <c r="B198" i="1"/>
  <c r="E197" i="1"/>
  <c r="D70" i="3" l="1"/>
  <c r="C71" i="3" s="1"/>
  <c r="F70" i="3"/>
  <c r="D70" i="1"/>
  <c r="C71" i="1" s="1"/>
  <c r="F70" i="1"/>
  <c r="H51" i="4"/>
  <c r="D51" i="4"/>
  <c r="E51" i="4" s="1"/>
  <c r="F51" i="4" s="1"/>
  <c r="C52" i="4" s="1"/>
  <c r="D53" i="2"/>
  <c r="H53" i="2"/>
  <c r="B324" i="2"/>
  <c r="G323" i="2"/>
  <c r="B199" i="1"/>
  <c r="E198" i="1"/>
  <c r="B84" i="3"/>
  <c r="E83" i="3"/>
  <c r="F71" i="1" l="1"/>
  <c r="D71" i="1"/>
  <c r="C72" i="1" s="1"/>
  <c r="H52" i="4"/>
  <c r="D52" i="4"/>
  <c r="E52" i="4" s="1"/>
  <c r="F52" i="4" s="1"/>
  <c r="C53" i="4" s="1"/>
  <c r="F71" i="3"/>
  <c r="C72" i="3"/>
  <c r="D71" i="3"/>
  <c r="E53" i="2"/>
  <c r="F53" i="2" s="1"/>
  <c r="C54" i="2" s="1"/>
  <c r="B85" i="3"/>
  <c r="E84" i="3"/>
  <c r="B325" i="2"/>
  <c r="G324" i="2"/>
  <c r="B200" i="1"/>
  <c r="E199" i="1"/>
  <c r="E53" i="4" l="1"/>
  <c r="F53" i="4" s="1"/>
  <c r="H53" i="4"/>
  <c r="D53" i="4"/>
  <c r="C54" i="4"/>
  <c r="E54" i="2"/>
  <c r="F54" i="2" s="1"/>
  <c r="C55" i="2" s="1"/>
  <c r="D54" i="2"/>
  <c r="H54" i="2"/>
  <c r="D72" i="1"/>
  <c r="C73" i="1" s="1"/>
  <c r="F72" i="1"/>
  <c r="B326" i="2"/>
  <c r="G325" i="2"/>
  <c r="D72" i="3"/>
  <c r="C73" i="3" s="1"/>
  <c r="F72" i="3"/>
  <c r="B201" i="1"/>
  <c r="E200" i="1"/>
  <c r="B86" i="3"/>
  <c r="E85" i="3"/>
  <c r="F73" i="3" l="1"/>
  <c r="C74" i="3"/>
  <c r="D73" i="3"/>
  <c r="F73" i="1"/>
  <c r="D73" i="1"/>
  <c r="C74" i="1" s="1"/>
  <c r="E55" i="2"/>
  <c r="F55" i="2" s="1"/>
  <c r="D55" i="2"/>
  <c r="C56" i="2" s="1"/>
  <c r="H55" i="2"/>
  <c r="B327" i="2"/>
  <c r="G326" i="2"/>
  <c r="E54" i="4"/>
  <c r="F54" i="4" s="1"/>
  <c r="H54" i="4"/>
  <c r="D54" i="4"/>
  <c r="C55" i="4"/>
  <c r="B87" i="3"/>
  <c r="E86" i="3"/>
  <c r="B202" i="1"/>
  <c r="E201" i="1"/>
  <c r="E56" i="2" l="1"/>
  <c r="F56" i="2" s="1"/>
  <c r="C57" i="2" s="1"/>
  <c r="D56" i="2"/>
  <c r="H56" i="2"/>
  <c r="D74" i="1"/>
  <c r="C75" i="1" s="1"/>
  <c r="F74" i="1"/>
  <c r="H55" i="4"/>
  <c r="D55" i="4"/>
  <c r="B203" i="1"/>
  <c r="E202" i="1"/>
  <c r="B328" i="2"/>
  <c r="G327" i="2"/>
  <c r="D74" i="3"/>
  <c r="C75" i="3" s="1"/>
  <c r="F74" i="3"/>
  <c r="B88" i="3"/>
  <c r="E87" i="3"/>
  <c r="F75" i="3" l="1"/>
  <c r="D75" i="3"/>
  <c r="C76" i="3" s="1"/>
  <c r="F75" i="1"/>
  <c r="D75" i="1"/>
  <c r="C76" i="1" s="1"/>
  <c r="D57" i="2"/>
  <c r="E57" i="2" s="1"/>
  <c r="F57" i="2" s="1"/>
  <c r="H57" i="2"/>
  <c r="B204" i="1"/>
  <c r="E203" i="1"/>
  <c r="E55" i="4"/>
  <c r="F55" i="4" s="1"/>
  <c r="C56" i="4" s="1"/>
  <c r="B89" i="3"/>
  <c r="E88" i="3"/>
  <c r="B329" i="2"/>
  <c r="G328" i="2"/>
  <c r="D76" i="3" l="1"/>
  <c r="C77" i="3" s="1"/>
  <c r="F76" i="3"/>
  <c r="H56" i="4"/>
  <c r="D56" i="4"/>
  <c r="D76" i="1"/>
  <c r="F76" i="1"/>
  <c r="C77" i="1"/>
  <c r="B330" i="2"/>
  <c r="G329" i="2"/>
  <c r="B205" i="1"/>
  <c r="E204" i="1"/>
  <c r="C58" i="2"/>
  <c r="B90" i="3"/>
  <c r="E89" i="3"/>
  <c r="F77" i="3" l="1"/>
  <c r="D77" i="3"/>
  <c r="C78" i="3" s="1"/>
  <c r="C57" i="4"/>
  <c r="B91" i="3"/>
  <c r="E90" i="3"/>
  <c r="E56" i="4"/>
  <c r="F56" i="4" s="1"/>
  <c r="D58" i="2"/>
  <c r="E58" i="2" s="1"/>
  <c r="F58" i="2" s="1"/>
  <c r="H58" i="2"/>
  <c r="B331" i="2"/>
  <c r="G330" i="2"/>
  <c r="F77" i="1"/>
  <c r="D77" i="1"/>
  <c r="C78" i="1" s="1"/>
  <c r="B206" i="1"/>
  <c r="E205" i="1"/>
  <c r="D78" i="1" l="1"/>
  <c r="C79" i="1" s="1"/>
  <c r="F78" i="1"/>
  <c r="D78" i="3"/>
  <c r="C79" i="3" s="1"/>
  <c r="F78" i="3"/>
  <c r="B332" i="2"/>
  <c r="G331" i="2"/>
  <c r="C59" i="2"/>
  <c r="H57" i="4"/>
  <c r="D57" i="4"/>
  <c r="B207" i="1"/>
  <c r="E206" i="1"/>
  <c r="B92" i="3"/>
  <c r="E91" i="3"/>
  <c r="F79" i="1" l="1"/>
  <c r="D79" i="1"/>
  <c r="C80" i="1" s="1"/>
  <c r="F79" i="3"/>
  <c r="D79" i="3"/>
  <c r="C80" i="3" s="1"/>
  <c r="B93" i="3"/>
  <c r="E92" i="3"/>
  <c r="B333" i="2"/>
  <c r="G332" i="2"/>
  <c r="B208" i="1"/>
  <c r="E207" i="1"/>
  <c r="E57" i="4"/>
  <c r="F57" i="4" s="1"/>
  <c r="C58" i="4" s="1"/>
  <c r="E59" i="2"/>
  <c r="F59" i="2" s="1"/>
  <c r="D59" i="2"/>
  <c r="C60" i="2" s="1"/>
  <c r="H59" i="2"/>
  <c r="D80" i="1" l="1"/>
  <c r="C81" i="1" s="1"/>
  <c r="F80" i="1"/>
  <c r="D80" i="3"/>
  <c r="C81" i="3" s="1"/>
  <c r="F80" i="3"/>
  <c r="H58" i="4"/>
  <c r="D58" i="4"/>
  <c r="E58" i="4" s="1"/>
  <c r="F58" i="4" s="1"/>
  <c r="C59" i="4" s="1"/>
  <c r="D60" i="2"/>
  <c r="H60" i="2"/>
  <c r="B209" i="1"/>
  <c r="E208" i="1"/>
  <c r="B94" i="3"/>
  <c r="E93" i="3"/>
  <c r="B334" i="2"/>
  <c r="G333" i="2"/>
  <c r="E59" i="4" l="1"/>
  <c r="F59" i="4" s="1"/>
  <c r="C60" i="4" s="1"/>
  <c r="D59" i="4"/>
  <c r="H59" i="4"/>
  <c r="F81" i="3"/>
  <c r="D81" i="3"/>
  <c r="C82" i="3" s="1"/>
  <c r="F81" i="1"/>
  <c r="D81" i="1"/>
  <c r="C82" i="1" s="1"/>
  <c r="E60" i="2"/>
  <c r="F60" i="2" s="1"/>
  <c r="C61" i="2" s="1"/>
  <c r="B335" i="2"/>
  <c r="G334" i="2"/>
  <c r="B210" i="1"/>
  <c r="E209" i="1"/>
  <c r="B95" i="3"/>
  <c r="E94" i="3"/>
  <c r="E61" i="2" l="1"/>
  <c r="F61" i="2" s="1"/>
  <c r="C62" i="2" s="1"/>
  <c r="D61" i="2"/>
  <c r="H61" i="2"/>
  <c r="D82" i="1"/>
  <c r="C83" i="1" s="1"/>
  <c r="F82" i="1"/>
  <c r="D82" i="3"/>
  <c r="C83" i="3" s="1"/>
  <c r="F82" i="3"/>
  <c r="D60" i="4"/>
  <c r="E60" i="4" s="1"/>
  <c r="F60" i="4" s="1"/>
  <c r="C61" i="4" s="1"/>
  <c r="H60" i="4"/>
  <c r="B211" i="1"/>
  <c r="E210" i="1"/>
  <c r="B96" i="3"/>
  <c r="E95" i="3"/>
  <c r="B336" i="2"/>
  <c r="G335" i="2"/>
  <c r="E61" i="4" l="1"/>
  <c r="F61" i="4" s="1"/>
  <c r="C62" i="4" s="1"/>
  <c r="D61" i="4"/>
  <c r="H61" i="4"/>
  <c r="F83" i="1"/>
  <c r="D83" i="1"/>
  <c r="C84" i="1" s="1"/>
  <c r="F83" i="3"/>
  <c r="D83" i="3"/>
  <c r="C84" i="3" s="1"/>
  <c r="E62" i="2"/>
  <c r="F62" i="2" s="1"/>
  <c r="D62" i="2"/>
  <c r="C63" i="2" s="1"/>
  <c r="H62" i="2"/>
  <c r="B337" i="2"/>
  <c r="G336" i="2"/>
  <c r="B212" i="1"/>
  <c r="E211" i="1"/>
  <c r="B97" i="3"/>
  <c r="E96" i="3"/>
  <c r="E63" i="2" l="1"/>
  <c r="F63" i="2" s="1"/>
  <c r="C64" i="2" s="1"/>
  <c r="D63" i="2"/>
  <c r="H63" i="2"/>
  <c r="D84" i="1"/>
  <c r="C85" i="1" s="1"/>
  <c r="F84" i="1"/>
  <c r="D84" i="3"/>
  <c r="C85" i="3" s="1"/>
  <c r="F84" i="3"/>
  <c r="D62" i="4"/>
  <c r="H62" i="4"/>
  <c r="E62" i="4"/>
  <c r="F62" i="4" s="1"/>
  <c r="C63" i="4" s="1"/>
  <c r="B98" i="3"/>
  <c r="E97" i="3"/>
  <c r="B338" i="2"/>
  <c r="G337" i="2"/>
  <c r="B213" i="1"/>
  <c r="E212" i="1"/>
  <c r="E63" i="4" l="1"/>
  <c r="F63" i="4" s="1"/>
  <c r="D63" i="4"/>
  <c r="C64" i="4" s="1"/>
  <c r="H63" i="4"/>
  <c r="F85" i="3"/>
  <c r="C86" i="3"/>
  <c r="D85" i="3"/>
  <c r="F85" i="1"/>
  <c r="D85" i="1"/>
  <c r="C86" i="1" s="1"/>
  <c r="E64" i="2"/>
  <c r="F64" i="2" s="1"/>
  <c r="D64" i="2"/>
  <c r="C65" i="2" s="1"/>
  <c r="H64" i="2"/>
  <c r="B214" i="1"/>
  <c r="E213" i="1"/>
  <c r="B99" i="3"/>
  <c r="E98" i="3"/>
  <c r="B339" i="2"/>
  <c r="G338" i="2"/>
  <c r="D64" i="4" l="1"/>
  <c r="C65" i="4" s="1"/>
  <c r="H64" i="4"/>
  <c r="E64" i="4"/>
  <c r="F64" i="4" s="1"/>
  <c r="C87" i="1"/>
  <c r="F86" i="1"/>
  <c r="D86" i="1"/>
  <c r="D65" i="2"/>
  <c r="E65" i="2" s="1"/>
  <c r="F65" i="2" s="1"/>
  <c r="H65" i="2"/>
  <c r="B340" i="2"/>
  <c r="G339" i="2"/>
  <c r="B215" i="1"/>
  <c r="E214" i="1"/>
  <c r="D86" i="3"/>
  <c r="C87" i="3" s="1"/>
  <c r="F86" i="3"/>
  <c r="B100" i="3"/>
  <c r="E99" i="3"/>
  <c r="F87" i="3" l="1"/>
  <c r="C88" i="3"/>
  <c r="D87" i="3"/>
  <c r="D65" i="4"/>
  <c r="E65" i="4" s="1"/>
  <c r="F65" i="4" s="1"/>
  <c r="H65" i="4"/>
  <c r="B341" i="2"/>
  <c r="G340" i="2"/>
  <c r="C66" i="2"/>
  <c r="B101" i="3"/>
  <c r="E100" i="3"/>
  <c r="B216" i="1"/>
  <c r="E215" i="1"/>
  <c r="F87" i="1"/>
  <c r="D87" i="1"/>
  <c r="C88" i="1" s="1"/>
  <c r="D88" i="1" l="1"/>
  <c r="C89" i="1" s="1"/>
  <c r="F88" i="1"/>
  <c r="B342" i="2"/>
  <c r="G341" i="2"/>
  <c r="C66" i="4"/>
  <c r="B102" i="3"/>
  <c r="E101" i="3"/>
  <c r="E66" i="2"/>
  <c r="F66" i="2" s="1"/>
  <c r="C67" i="2" s="1"/>
  <c r="D66" i="2"/>
  <c r="H66" i="2"/>
  <c r="D88" i="3"/>
  <c r="C89" i="3"/>
  <c r="F88" i="3"/>
  <c r="B217" i="1"/>
  <c r="E216" i="1"/>
  <c r="F89" i="1" l="1"/>
  <c r="D89" i="1"/>
  <c r="C90" i="1" s="1"/>
  <c r="D67" i="2"/>
  <c r="E67" i="2" s="1"/>
  <c r="F67" i="2" s="1"/>
  <c r="H67" i="2"/>
  <c r="B218" i="1"/>
  <c r="E217" i="1"/>
  <c r="B343" i="2"/>
  <c r="G342" i="2"/>
  <c r="B103" i="3"/>
  <c r="E102" i="3"/>
  <c r="D66" i="4"/>
  <c r="E66" i="4" s="1"/>
  <c r="F66" i="4" s="1"/>
  <c r="C67" i="4" s="1"/>
  <c r="H66" i="4"/>
  <c r="F89" i="3"/>
  <c r="D89" i="3"/>
  <c r="C90" i="3" s="1"/>
  <c r="E67" i="4" l="1"/>
  <c r="F67" i="4" s="1"/>
  <c r="C68" i="4" s="1"/>
  <c r="D67" i="4"/>
  <c r="H67" i="4"/>
  <c r="D90" i="3"/>
  <c r="C91" i="3"/>
  <c r="F90" i="3"/>
  <c r="D90" i="1"/>
  <c r="C91" i="1" s="1"/>
  <c r="F90" i="1"/>
  <c r="B104" i="3"/>
  <c r="E103" i="3"/>
  <c r="B219" i="1"/>
  <c r="E218" i="1"/>
  <c r="C68" i="2"/>
  <c r="B344" i="2"/>
  <c r="G343" i="2"/>
  <c r="D68" i="4" l="1"/>
  <c r="E68" i="4" s="1"/>
  <c r="F68" i="4" s="1"/>
  <c r="C69" i="4" s="1"/>
  <c r="H68" i="4"/>
  <c r="C92" i="1"/>
  <c r="F91" i="1"/>
  <c r="D91" i="1"/>
  <c r="B345" i="2"/>
  <c r="G344" i="2"/>
  <c r="D68" i="2"/>
  <c r="H68" i="2"/>
  <c r="B105" i="3"/>
  <c r="E104" i="3"/>
  <c r="F91" i="3"/>
  <c r="D91" i="3"/>
  <c r="C92" i="3"/>
  <c r="B220" i="1"/>
  <c r="E219" i="1"/>
  <c r="E69" i="4" l="1"/>
  <c r="F69" i="4" s="1"/>
  <c r="C70" i="4" s="1"/>
  <c r="D69" i="4"/>
  <c r="H69" i="4"/>
  <c r="B346" i="2"/>
  <c r="G345" i="2"/>
  <c r="B221" i="1"/>
  <c r="E220" i="1"/>
  <c r="E68" i="2"/>
  <c r="F68" i="2" s="1"/>
  <c r="C69" i="2" s="1"/>
  <c r="D92" i="3"/>
  <c r="F92" i="3"/>
  <c r="C93" i="3"/>
  <c r="B106" i="3"/>
  <c r="E105" i="3"/>
  <c r="D92" i="1"/>
  <c r="C93" i="1" s="1"/>
  <c r="F92" i="1"/>
  <c r="F93" i="1" l="1"/>
  <c r="D93" i="1"/>
  <c r="C94" i="1" s="1"/>
  <c r="D69" i="2"/>
  <c r="E69" i="2" s="1"/>
  <c r="F69" i="2" s="1"/>
  <c r="H69" i="2"/>
  <c r="H70" i="4"/>
  <c r="D70" i="4"/>
  <c r="B222" i="1"/>
  <c r="E221" i="1"/>
  <c r="B347" i="2"/>
  <c r="G346" i="2"/>
  <c r="B107" i="3"/>
  <c r="E106" i="3"/>
  <c r="F93" i="3"/>
  <c r="D93" i="3"/>
  <c r="C94" i="3"/>
  <c r="C95" i="1" l="1"/>
  <c r="D94" i="1"/>
  <c r="F94" i="1"/>
  <c r="B108" i="3"/>
  <c r="E107" i="3"/>
  <c r="B223" i="1"/>
  <c r="E222" i="1"/>
  <c r="C70" i="2"/>
  <c r="E70" i="4"/>
  <c r="F70" i="4" s="1"/>
  <c r="C71" i="4" s="1"/>
  <c r="D94" i="3"/>
  <c r="F94" i="3"/>
  <c r="C95" i="3"/>
  <c r="B348" i="2"/>
  <c r="G347" i="2"/>
  <c r="H71" i="4" l="1"/>
  <c r="D71" i="4"/>
  <c r="E71" i="4" s="1"/>
  <c r="F71" i="4" s="1"/>
  <c r="B224" i="1"/>
  <c r="E223" i="1"/>
  <c r="F95" i="1"/>
  <c r="D95" i="1"/>
  <c r="C96" i="1" s="1"/>
  <c r="B349" i="2"/>
  <c r="G348" i="2"/>
  <c r="F95" i="3"/>
  <c r="D95" i="3"/>
  <c r="C96" i="3" s="1"/>
  <c r="D70" i="2"/>
  <c r="H70" i="2"/>
  <c r="B109" i="3"/>
  <c r="E108" i="3"/>
  <c r="D96" i="1" l="1"/>
  <c r="C97" i="1" s="1"/>
  <c r="F96" i="1"/>
  <c r="D96" i="3"/>
  <c r="C97" i="3"/>
  <c r="F96" i="3"/>
  <c r="E70" i="2"/>
  <c r="F70" i="2" s="1"/>
  <c r="C71" i="2" s="1"/>
  <c r="C72" i="4"/>
  <c r="B110" i="3"/>
  <c r="E109" i="3"/>
  <c r="B350" i="2"/>
  <c r="G349" i="2"/>
  <c r="B225" i="1"/>
  <c r="E224" i="1"/>
  <c r="C98" i="1" l="1"/>
  <c r="F97" i="1"/>
  <c r="D97" i="1"/>
  <c r="D71" i="2"/>
  <c r="E71" i="2" s="1"/>
  <c r="F71" i="2" s="1"/>
  <c r="H71" i="2"/>
  <c r="B226" i="1"/>
  <c r="E225" i="1"/>
  <c r="F97" i="3"/>
  <c r="D97" i="3"/>
  <c r="C98" i="3" s="1"/>
  <c r="B351" i="2"/>
  <c r="G350" i="2"/>
  <c r="B111" i="3"/>
  <c r="E110" i="3"/>
  <c r="H72" i="4"/>
  <c r="D72" i="4"/>
  <c r="D98" i="3" l="1"/>
  <c r="C99" i="3" s="1"/>
  <c r="F98" i="3"/>
  <c r="E72" i="4"/>
  <c r="F72" i="4" s="1"/>
  <c r="C73" i="4" s="1"/>
  <c r="B227" i="1"/>
  <c r="E226" i="1"/>
  <c r="C72" i="2"/>
  <c r="B112" i="3"/>
  <c r="E112" i="3" s="1"/>
  <c r="E111" i="3"/>
  <c r="B352" i="2"/>
  <c r="G351" i="2"/>
  <c r="D98" i="1"/>
  <c r="C99" i="1" s="1"/>
  <c r="F98" i="1"/>
  <c r="F99" i="1" l="1"/>
  <c r="D99" i="1"/>
  <c r="C100" i="1" s="1"/>
  <c r="H73" i="4"/>
  <c r="D73" i="4"/>
  <c r="E73" i="4" s="1"/>
  <c r="F73" i="4" s="1"/>
  <c r="C74" i="4" s="1"/>
  <c r="F99" i="3"/>
  <c r="D99" i="3"/>
  <c r="C100" i="3" s="1"/>
  <c r="E72" i="2"/>
  <c r="F72" i="2" s="1"/>
  <c r="D72" i="2"/>
  <c r="C73" i="2" s="1"/>
  <c r="H72" i="2"/>
  <c r="B353" i="2"/>
  <c r="G352" i="2"/>
  <c r="B228" i="1"/>
  <c r="E227" i="1"/>
  <c r="E73" i="2" l="1"/>
  <c r="F73" i="2" s="1"/>
  <c r="C74" i="2" s="1"/>
  <c r="D73" i="2"/>
  <c r="H73" i="2"/>
  <c r="H74" i="4"/>
  <c r="D74" i="4"/>
  <c r="D100" i="3"/>
  <c r="C101" i="3" s="1"/>
  <c r="F100" i="3"/>
  <c r="D100" i="1"/>
  <c r="C101" i="1" s="1"/>
  <c r="F100" i="1"/>
  <c r="B354" i="2"/>
  <c r="G353" i="2"/>
  <c r="B229" i="1"/>
  <c r="E228" i="1"/>
  <c r="F101" i="3" l="1"/>
  <c r="D101" i="3"/>
  <c r="C102" i="3" s="1"/>
  <c r="D74" i="2"/>
  <c r="E74" i="2" s="1"/>
  <c r="F74" i="2" s="1"/>
  <c r="H74" i="2"/>
  <c r="F101" i="1"/>
  <c r="D101" i="1"/>
  <c r="C102" i="1" s="1"/>
  <c r="B230" i="1"/>
  <c r="E229" i="1"/>
  <c r="E74" i="4"/>
  <c r="F74" i="4" s="1"/>
  <c r="C75" i="4" s="1"/>
  <c r="B355" i="2"/>
  <c r="G354" i="2"/>
  <c r="D102" i="1" l="1"/>
  <c r="F102" i="1"/>
  <c r="C103" i="1"/>
  <c r="H75" i="4"/>
  <c r="D75" i="4"/>
  <c r="E75" i="4"/>
  <c r="F75" i="4" s="1"/>
  <c r="C76" i="4" s="1"/>
  <c r="D102" i="3"/>
  <c r="F102" i="3"/>
  <c r="C103" i="3"/>
  <c r="B356" i="2"/>
  <c r="G355" i="2"/>
  <c r="B231" i="1"/>
  <c r="E230" i="1"/>
  <c r="C75" i="2"/>
  <c r="H76" i="4" l="1"/>
  <c r="D76" i="4"/>
  <c r="E76" i="4" s="1"/>
  <c r="F76" i="4" s="1"/>
  <c r="C77" i="4" s="1"/>
  <c r="B357" i="2"/>
  <c r="G356" i="2"/>
  <c r="C104" i="1"/>
  <c r="F103" i="1"/>
  <c r="D103" i="1"/>
  <c r="F103" i="3"/>
  <c r="C104" i="3"/>
  <c r="D103" i="3"/>
  <c r="D75" i="2"/>
  <c r="H75" i="2"/>
  <c r="B232" i="1"/>
  <c r="E231" i="1"/>
  <c r="H77" i="4" l="1"/>
  <c r="D77" i="4"/>
  <c r="E77" i="4" s="1"/>
  <c r="F77" i="4" s="1"/>
  <c r="C78" i="4" s="1"/>
  <c r="D104" i="1"/>
  <c r="C105" i="1" s="1"/>
  <c r="F104" i="1"/>
  <c r="D104" i="3"/>
  <c r="C105" i="3"/>
  <c r="F104" i="3"/>
  <c r="E75" i="2"/>
  <c r="F75" i="2" s="1"/>
  <c r="C76" i="2" s="1"/>
  <c r="B233" i="1"/>
  <c r="E232" i="1"/>
  <c r="B358" i="2"/>
  <c r="G357" i="2"/>
  <c r="F105" i="1" l="1"/>
  <c r="D105" i="1"/>
  <c r="C106" i="1" s="1"/>
  <c r="D76" i="2"/>
  <c r="E76" i="2" s="1"/>
  <c r="F76" i="2" s="1"/>
  <c r="H76" i="2"/>
  <c r="H78" i="4"/>
  <c r="D78" i="4"/>
  <c r="E78" i="4"/>
  <c r="F78" i="4" s="1"/>
  <c r="C79" i="4" s="1"/>
  <c r="B359" i="2"/>
  <c r="G358" i="2"/>
  <c r="F105" i="3"/>
  <c r="C106" i="3"/>
  <c r="D105" i="3"/>
  <c r="B234" i="1"/>
  <c r="E233" i="1"/>
  <c r="H79" i="4" l="1"/>
  <c r="D79" i="4"/>
  <c r="E79" i="4" s="1"/>
  <c r="F79" i="4" s="1"/>
  <c r="C80" i="4" s="1"/>
  <c r="D106" i="1"/>
  <c r="F106" i="1"/>
  <c r="C107" i="1"/>
  <c r="B235" i="1"/>
  <c r="E234" i="1"/>
  <c r="B360" i="2"/>
  <c r="G359" i="2"/>
  <c r="C77" i="2"/>
  <c r="D106" i="3"/>
  <c r="C107" i="3"/>
  <c r="F106" i="3"/>
  <c r="H80" i="4" l="1"/>
  <c r="D80" i="4"/>
  <c r="E80" i="4" s="1"/>
  <c r="F80" i="4" s="1"/>
  <c r="C81" i="4" s="1"/>
  <c r="B361" i="2"/>
  <c r="G360" i="2"/>
  <c r="D77" i="2"/>
  <c r="E77" i="2" s="1"/>
  <c r="F77" i="2" s="1"/>
  <c r="C78" i="2" s="1"/>
  <c r="H77" i="2"/>
  <c r="B236" i="1"/>
  <c r="E235" i="1"/>
  <c r="F107" i="1"/>
  <c r="D107" i="1"/>
  <c r="C108" i="1" s="1"/>
  <c r="F107" i="3"/>
  <c r="D107" i="3"/>
  <c r="C108" i="3"/>
  <c r="H81" i="4" l="1"/>
  <c r="D81" i="4"/>
  <c r="E81" i="4" s="1"/>
  <c r="F81" i="4" s="1"/>
  <c r="C82" i="4" s="1"/>
  <c r="D108" i="1"/>
  <c r="C109" i="1" s="1"/>
  <c r="F108" i="1"/>
  <c r="D78" i="2"/>
  <c r="H78" i="2"/>
  <c r="B237" i="1"/>
  <c r="E236" i="1"/>
  <c r="D108" i="3"/>
  <c r="C109" i="3" s="1"/>
  <c r="F108" i="3"/>
  <c r="B362" i="2"/>
  <c r="G361" i="2"/>
  <c r="F109" i="1" l="1"/>
  <c r="D109" i="1"/>
  <c r="C110" i="1" s="1"/>
  <c r="F109" i="3"/>
  <c r="D109" i="3"/>
  <c r="C110" i="3"/>
  <c r="H82" i="4"/>
  <c r="D82" i="4"/>
  <c r="E82" i="4"/>
  <c r="F82" i="4" s="1"/>
  <c r="C83" i="4" s="1"/>
  <c r="C79" i="2"/>
  <c r="B363" i="2"/>
  <c r="G362" i="2"/>
  <c r="E78" i="2"/>
  <c r="F78" i="2" s="1"/>
  <c r="B238" i="1"/>
  <c r="E237" i="1"/>
  <c r="H83" i="4" l="1"/>
  <c r="D83" i="4"/>
  <c r="E83" i="4" s="1"/>
  <c r="F83" i="4" s="1"/>
  <c r="C84" i="4" s="1"/>
  <c r="D110" i="1"/>
  <c r="F110" i="1"/>
  <c r="C111" i="1"/>
  <c r="B364" i="2"/>
  <c r="G363" i="2"/>
  <c r="E79" i="2"/>
  <c r="F79" i="2" s="1"/>
  <c r="C80" i="2" s="1"/>
  <c r="D79" i="2"/>
  <c r="H79" i="2"/>
  <c r="F110" i="3"/>
  <c r="C111" i="3"/>
  <c r="D110" i="3"/>
  <c r="B239" i="1"/>
  <c r="E238" i="1"/>
  <c r="D80" i="2" l="1"/>
  <c r="H80" i="2"/>
  <c r="H84" i="4"/>
  <c r="D84" i="4"/>
  <c r="E84" i="4" s="1"/>
  <c r="F84" i="4" s="1"/>
  <c r="C85" i="4" s="1"/>
  <c r="B365" i="2"/>
  <c r="G364" i="2"/>
  <c r="C112" i="1"/>
  <c r="F111" i="1"/>
  <c r="D111" i="1"/>
  <c r="D111" i="3"/>
  <c r="C112" i="3"/>
  <c r="F111" i="3"/>
  <c r="B240" i="1"/>
  <c r="E239" i="1"/>
  <c r="H85" i="4" l="1"/>
  <c r="D85" i="4"/>
  <c r="E85" i="4" s="1"/>
  <c r="F85" i="4" s="1"/>
  <c r="C86" i="4" s="1"/>
  <c r="D112" i="1"/>
  <c r="C113" i="1" s="1"/>
  <c r="F112" i="1"/>
  <c r="F112" i="3"/>
  <c r="D112" i="3"/>
  <c r="E80" i="2"/>
  <c r="F80" i="2" s="1"/>
  <c r="C81" i="2" s="1"/>
  <c r="B241" i="1"/>
  <c r="E240" i="1"/>
  <c r="B366" i="2"/>
  <c r="G365" i="2"/>
  <c r="H86" i="4" l="1"/>
  <c r="D86" i="4"/>
  <c r="E86" i="4" s="1"/>
  <c r="F86" i="4" s="1"/>
  <c r="C87" i="4" s="1"/>
  <c r="D81" i="2"/>
  <c r="H81" i="2"/>
  <c r="F113" i="1"/>
  <c r="D113" i="1"/>
  <c r="C114" i="1" s="1"/>
  <c r="B242" i="1"/>
  <c r="E241" i="1"/>
  <c r="B367" i="2"/>
  <c r="G366" i="2"/>
  <c r="H87" i="4" l="1"/>
  <c r="D87" i="4"/>
  <c r="E87" i="4" s="1"/>
  <c r="F87" i="4" s="1"/>
  <c r="C88" i="4" s="1"/>
  <c r="D114" i="1"/>
  <c r="C115" i="1" s="1"/>
  <c r="F114" i="1"/>
  <c r="B243" i="1"/>
  <c r="E242" i="1"/>
  <c r="B368" i="2"/>
  <c r="G367" i="2"/>
  <c r="E81" i="2"/>
  <c r="F81" i="2" s="1"/>
  <c r="C82" i="2" s="1"/>
  <c r="H88" i="4" l="1"/>
  <c r="D88" i="4"/>
  <c r="E88" i="4" s="1"/>
  <c r="F88" i="4" s="1"/>
  <c r="C89" i="4" s="1"/>
  <c r="F115" i="1"/>
  <c r="D115" i="1"/>
  <c r="C116" i="1" s="1"/>
  <c r="D82" i="2"/>
  <c r="E82" i="2" s="1"/>
  <c r="F82" i="2" s="1"/>
  <c r="H82" i="2"/>
  <c r="B369" i="2"/>
  <c r="G368" i="2"/>
  <c r="B244" i="1"/>
  <c r="E243" i="1"/>
  <c r="H89" i="4" l="1"/>
  <c r="D89" i="4"/>
  <c r="E89" i="4" s="1"/>
  <c r="F89" i="4" s="1"/>
  <c r="C90" i="4" s="1"/>
  <c r="D116" i="1"/>
  <c r="C117" i="1" s="1"/>
  <c r="F116" i="1"/>
  <c r="B370" i="2"/>
  <c r="G369" i="2"/>
  <c r="C83" i="2"/>
  <c r="B245" i="1"/>
  <c r="E244" i="1"/>
  <c r="H90" i="4" l="1"/>
  <c r="D90" i="4"/>
  <c r="E90" i="4" s="1"/>
  <c r="F90" i="4" s="1"/>
  <c r="C91" i="4" s="1"/>
  <c r="F117" i="1"/>
  <c r="D117" i="1"/>
  <c r="C118" i="1" s="1"/>
  <c r="B371" i="2"/>
  <c r="G370" i="2"/>
  <c r="E83" i="2"/>
  <c r="F83" i="2" s="1"/>
  <c r="C84" i="2" s="1"/>
  <c r="D83" i="2"/>
  <c r="H83" i="2"/>
  <c r="B246" i="1"/>
  <c r="E245" i="1"/>
  <c r="D84" i="2" l="1"/>
  <c r="H84" i="2"/>
  <c r="D118" i="1"/>
  <c r="F118" i="1"/>
  <c r="C119" i="1"/>
  <c r="H91" i="4"/>
  <c r="D91" i="4"/>
  <c r="E91" i="4"/>
  <c r="F91" i="4" s="1"/>
  <c r="C92" i="4" s="1"/>
  <c r="B372" i="2"/>
  <c r="G371" i="2"/>
  <c r="B247" i="1"/>
  <c r="E246" i="1"/>
  <c r="H92" i="4" l="1"/>
  <c r="D92" i="4"/>
  <c r="E92" i="4" s="1"/>
  <c r="F92" i="4" s="1"/>
  <c r="C93" i="4" s="1"/>
  <c r="B373" i="2"/>
  <c r="G372" i="2"/>
  <c r="E84" i="2"/>
  <c r="F84" i="2" s="1"/>
  <c r="C85" i="2" s="1"/>
  <c r="F119" i="1"/>
  <c r="D119" i="1"/>
  <c r="C120" i="1" s="1"/>
  <c r="B248" i="1"/>
  <c r="E247" i="1"/>
  <c r="H93" i="4" l="1"/>
  <c r="D93" i="4"/>
  <c r="E93" i="4" s="1"/>
  <c r="F93" i="4" s="1"/>
  <c r="C94" i="4" s="1"/>
  <c r="D120" i="1"/>
  <c r="C121" i="1" s="1"/>
  <c r="F120" i="1"/>
  <c r="D85" i="2"/>
  <c r="E85" i="2" s="1"/>
  <c r="F85" i="2" s="1"/>
  <c r="H85" i="2"/>
  <c r="B249" i="1"/>
  <c r="E248" i="1"/>
  <c r="B374" i="2"/>
  <c r="G373" i="2"/>
  <c r="H94" i="4" l="1"/>
  <c r="D94" i="4"/>
  <c r="E94" i="4" s="1"/>
  <c r="F94" i="4" s="1"/>
  <c r="C95" i="4" s="1"/>
  <c r="F121" i="1"/>
  <c r="D121" i="1"/>
  <c r="C122" i="1" s="1"/>
  <c r="B375" i="2"/>
  <c r="G374" i="2"/>
  <c r="B250" i="1"/>
  <c r="E249" i="1"/>
  <c r="C86" i="2"/>
  <c r="D122" i="1" l="1"/>
  <c r="F122" i="1"/>
  <c r="C123" i="1"/>
  <c r="H95" i="4"/>
  <c r="D95" i="4"/>
  <c r="E95" i="4"/>
  <c r="F95" i="4" s="1"/>
  <c r="C96" i="4" s="1"/>
  <c r="B251" i="1"/>
  <c r="E250" i="1"/>
  <c r="E86" i="2"/>
  <c r="F86" i="2" s="1"/>
  <c r="C87" i="2" s="1"/>
  <c r="D86" i="2"/>
  <c r="H86" i="2"/>
  <c r="B376" i="2"/>
  <c r="G375" i="2"/>
  <c r="H96" i="4" l="1"/>
  <c r="D96" i="4"/>
  <c r="D87" i="2"/>
  <c r="H87" i="2"/>
  <c r="B252" i="1"/>
  <c r="E251" i="1"/>
  <c r="C124" i="1"/>
  <c r="F123" i="1"/>
  <c r="D123" i="1"/>
  <c r="B377" i="2"/>
  <c r="G376" i="2"/>
  <c r="C97" i="4" l="1"/>
  <c r="E87" i="2"/>
  <c r="F87" i="2" s="1"/>
  <c r="C88" i="2" s="1"/>
  <c r="E96" i="4"/>
  <c r="F96" i="4" s="1"/>
  <c r="D124" i="1"/>
  <c r="C125" i="1" s="1"/>
  <c r="F124" i="1"/>
  <c r="B378" i="2"/>
  <c r="G377" i="2"/>
  <c r="B253" i="1"/>
  <c r="E252" i="1"/>
  <c r="D88" i="2" l="1"/>
  <c r="H88" i="2"/>
  <c r="F125" i="1"/>
  <c r="D125" i="1"/>
  <c r="C126" i="1" s="1"/>
  <c r="B379" i="2"/>
  <c r="G378" i="2"/>
  <c r="B254" i="1"/>
  <c r="E253" i="1"/>
  <c r="H97" i="4"/>
  <c r="D97" i="4"/>
  <c r="E97" i="4"/>
  <c r="F97" i="4" s="1"/>
  <c r="C98" i="4" s="1"/>
  <c r="D126" i="1" l="1"/>
  <c r="F126" i="1"/>
  <c r="C127" i="1"/>
  <c r="H98" i="4"/>
  <c r="D98" i="4"/>
  <c r="E98" i="4"/>
  <c r="F98" i="4" s="1"/>
  <c r="C99" i="4" s="1"/>
  <c r="B380" i="2"/>
  <c r="G379" i="2"/>
  <c r="B255" i="1"/>
  <c r="E254" i="1"/>
  <c r="E88" i="2"/>
  <c r="F88" i="2" s="1"/>
  <c r="C89" i="2" s="1"/>
  <c r="D89" i="2" l="1"/>
  <c r="H89" i="2"/>
  <c r="H99" i="4"/>
  <c r="D99" i="4"/>
  <c r="E99" i="4" s="1"/>
  <c r="F99" i="4" s="1"/>
  <c r="C100" i="4" s="1"/>
  <c r="B256" i="1"/>
  <c r="E255" i="1"/>
  <c r="F127" i="1"/>
  <c r="D127" i="1"/>
  <c r="C128" i="1" s="1"/>
  <c r="B381" i="2"/>
  <c r="G380" i="2"/>
  <c r="H100" i="4" l="1"/>
  <c r="D100" i="4"/>
  <c r="E100" i="4" s="1"/>
  <c r="F100" i="4" s="1"/>
  <c r="C101" i="4" s="1"/>
  <c r="D128" i="1"/>
  <c r="C129" i="1" s="1"/>
  <c r="F128" i="1"/>
  <c r="B382" i="2"/>
  <c r="G381" i="2"/>
  <c r="E89" i="2"/>
  <c r="F89" i="2" s="1"/>
  <c r="C90" i="2" s="1"/>
  <c r="B257" i="1"/>
  <c r="E256" i="1"/>
  <c r="D90" i="2" l="1"/>
  <c r="H90" i="2"/>
  <c r="D129" i="1"/>
  <c r="C130" i="1" s="1"/>
  <c r="F129" i="1"/>
  <c r="H101" i="4"/>
  <c r="D101" i="4"/>
  <c r="E101" i="4"/>
  <c r="F101" i="4" s="1"/>
  <c r="C102" i="4" s="1"/>
  <c r="B258" i="1"/>
  <c r="E257" i="1"/>
  <c r="B383" i="2"/>
  <c r="G382" i="2"/>
  <c r="H102" i="4" l="1"/>
  <c r="D102" i="4"/>
  <c r="E102" i="4" s="1"/>
  <c r="F102" i="4" s="1"/>
  <c r="C103" i="4" s="1"/>
  <c r="F130" i="1"/>
  <c r="D130" i="1"/>
  <c r="C131" i="1" s="1"/>
  <c r="B259" i="1"/>
  <c r="E258" i="1"/>
  <c r="E90" i="2"/>
  <c r="F90" i="2" s="1"/>
  <c r="C91" i="2" s="1"/>
  <c r="B384" i="2"/>
  <c r="G383" i="2"/>
  <c r="D91" i="2" l="1"/>
  <c r="H91" i="2"/>
  <c r="F131" i="1"/>
  <c r="D131" i="1"/>
  <c r="C132" i="1" s="1"/>
  <c r="H103" i="4"/>
  <c r="D103" i="4"/>
  <c r="E103" i="4"/>
  <c r="F103" i="4" s="1"/>
  <c r="C104" i="4" s="1"/>
  <c r="B260" i="1"/>
  <c r="E259" i="1"/>
  <c r="B385" i="2"/>
  <c r="G384" i="2"/>
  <c r="F132" i="1" l="1"/>
  <c r="D132" i="1"/>
  <c r="C133" i="1" s="1"/>
  <c r="H104" i="4"/>
  <c r="D104" i="4"/>
  <c r="E104" i="4"/>
  <c r="F104" i="4" s="1"/>
  <c r="C105" i="4" s="1"/>
  <c r="B261" i="1"/>
  <c r="E260" i="1"/>
  <c r="B386" i="2"/>
  <c r="G385" i="2"/>
  <c r="E91" i="2"/>
  <c r="F91" i="2" s="1"/>
  <c r="C92" i="2" s="1"/>
  <c r="D92" i="2" l="1"/>
  <c r="H92" i="2"/>
  <c r="H105" i="4"/>
  <c r="D105" i="4"/>
  <c r="C106" i="4"/>
  <c r="E105" i="4"/>
  <c r="F105" i="4" s="1"/>
  <c r="D133" i="1"/>
  <c r="C134" i="1" s="1"/>
  <c r="F133" i="1"/>
  <c r="B387" i="2"/>
  <c r="G386" i="2"/>
  <c r="B262" i="1"/>
  <c r="E261" i="1"/>
  <c r="D134" i="1" l="1"/>
  <c r="C135" i="1" s="1"/>
  <c r="F134" i="1"/>
  <c r="B388" i="2"/>
  <c r="G387" i="2"/>
  <c r="H106" i="4"/>
  <c r="D106" i="4"/>
  <c r="C107" i="4" s="1"/>
  <c r="E106" i="4"/>
  <c r="F106" i="4" s="1"/>
  <c r="B263" i="1"/>
  <c r="E262" i="1"/>
  <c r="E92" i="2"/>
  <c r="F92" i="2" s="1"/>
  <c r="C93" i="2" s="1"/>
  <c r="D93" i="2" l="1"/>
  <c r="H93" i="2"/>
  <c r="H107" i="4"/>
  <c r="D107" i="4"/>
  <c r="C108" i="4"/>
  <c r="E107" i="4"/>
  <c r="F107" i="4" s="1"/>
  <c r="D135" i="1"/>
  <c r="C136" i="1" s="1"/>
  <c r="F135" i="1"/>
  <c r="B264" i="1"/>
  <c r="E263" i="1"/>
  <c r="B389" i="2"/>
  <c r="G388" i="2"/>
  <c r="D136" i="1" l="1"/>
  <c r="C137" i="1" s="1"/>
  <c r="F136" i="1"/>
  <c r="B265" i="1"/>
  <c r="E264" i="1"/>
  <c r="B390" i="2"/>
  <c r="G389" i="2"/>
  <c r="E93" i="2"/>
  <c r="F93" i="2" s="1"/>
  <c r="C94" i="2" s="1"/>
  <c r="H108" i="4"/>
  <c r="D108" i="4"/>
  <c r="E108" i="4" s="1"/>
  <c r="F108" i="4" s="1"/>
  <c r="D94" i="2" l="1"/>
  <c r="H94" i="2"/>
  <c r="F137" i="1"/>
  <c r="D137" i="1"/>
  <c r="C138" i="1" s="1"/>
  <c r="B391" i="2"/>
  <c r="G390" i="2"/>
  <c r="C109" i="4"/>
  <c r="B266" i="1"/>
  <c r="E265" i="1"/>
  <c r="F138" i="1" l="1"/>
  <c r="D138" i="1"/>
  <c r="C139" i="1" s="1"/>
  <c r="B392" i="2"/>
  <c r="G391" i="2"/>
  <c r="B267" i="1"/>
  <c r="E266" i="1"/>
  <c r="H109" i="4"/>
  <c r="D109" i="4"/>
  <c r="E94" i="2"/>
  <c r="F94" i="2" s="1"/>
  <c r="C95" i="2" s="1"/>
  <c r="F139" i="1" l="1"/>
  <c r="D139" i="1"/>
  <c r="C140" i="1" s="1"/>
  <c r="D95" i="2"/>
  <c r="H95" i="2"/>
  <c r="E109" i="4"/>
  <c r="F109" i="4" s="1"/>
  <c r="C110" i="4" s="1"/>
  <c r="B268" i="1"/>
  <c r="E267" i="1"/>
  <c r="B393" i="2"/>
  <c r="G392" i="2"/>
  <c r="H110" i="4" l="1"/>
  <c r="D110" i="4"/>
  <c r="F140" i="1"/>
  <c r="D140" i="1"/>
  <c r="C141" i="1" s="1"/>
  <c r="B394" i="2"/>
  <c r="G393" i="2"/>
  <c r="B269" i="1"/>
  <c r="E268" i="1"/>
  <c r="E95" i="2"/>
  <c r="F95" i="2" s="1"/>
  <c r="C96" i="2" s="1"/>
  <c r="D96" i="2" l="1"/>
  <c r="H96" i="2"/>
  <c r="D141" i="1"/>
  <c r="C142" i="1" s="1"/>
  <c r="F141" i="1"/>
  <c r="E110" i="4"/>
  <c r="F110" i="4" s="1"/>
  <c r="C111" i="4" s="1"/>
  <c r="B270" i="1"/>
  <c r="E269" i="1"/>
  <c r="B395" i="2"/>
  <c r="G394" i="2"/>
  <c r="H111" i="4" l="1"/>
  <c r="D111" i="4"/>
  <c r="D142" i="1"/>
  <c r="C143" i="1" s="1"/>
  <c r="F142" i="1"/>
  <c r="B396" i="2"/>
  <c r="G395" i="2"/>
  <c r="E96" i="2"/>
  <c r="F96" i="2" s="1"/>
  <c r="C97" i="2" s="1"/>
  <c r="B271" i="1"/>
  <c r="E270" i="1"/>
  <c r="D97" i="2" l="1"/>
  <c r="H97" i="2"/>
  <c r="F143" i="1"/>
  <c r="D143" i="1"/>
  <c r="C144" i="1" s="1"/>
  <c r="B397" i="2"/>
  <c r="G396" i="2"/>
  <c r="B272" i="1"/>
  <c r="E271" i="1"/>
  <c r="E111" i="4"/>
  <c r="F111" i="4" s="1"/>
  <c r="C112" i="4" s="1"/>
  <c r="D144" i="1" l="1"/>
  <c r="C145" i="1" s="1"/>
  <c r="F144" i="1"/>
  <c r="H112" i="4"/>
  <c r="D112" i="4"/>
  <c r="E112" i="4"/>
  <c r="F112" i="4" s="1"/>
  <c r="C98" i="2"/>
  <c r="B273" i="1"/>
  <c r="E272" i="1"/>
  <c r="E97" i="2"/>
  <c r="F97" i="2" s="1"/>
  <c r="B398" i="2"/>
  <c r="G397" i="2"/>
  <c r="D145" i="1" l="1"/>
  <c r="C146" i="1" s="1"/>
  <c r="F145" i="1"/>
  <c r="B399" i="2"/>
  <c r="G398" i="2"/>
  <c r="B274" i="1"/>
  <c r="E273" i="1"/>
  <c r="D98" i="2"/>
  <c r="H98" i="2"/>
  <c r="F146" i="1" l="1"/>
  <c r="C147" i="1"/>
  <c r="D146" i="1"/>
  <c r="E98" i="2"/>
  <c r="F98" i="2" s="1"/>
  <c r="C99" i="2" s="1"/>
  <c r="B400" i="2"/>
  <c r="G399" i="2"/>
  <c r="B275" i="1"/>
  <c r="E274" i="1"/>
  <c r="D99" i="2" l="1"/>
  <c r="H99" i="2"/>
  <c r="B276" i="1"/>
  <c r="E275" i="1"/>
  <c r="C148" i="1"/>
  <c r="F147" i="1"/>
  <c r="D147" i="1"/>
  <c r="B401" i="2"/>
  <c r="G400" i="2"/>
  <c r="F148" i="1" l="1"/>
  <c r="D148" i="1"/>
  <c r="C149" i="1" s="1"/>
  <c r="B402" i="2"/>
  <c r="G401" i="2"/>
  <c r="E99" i="2"/>
  <c r="F99" i="2" s="1"/>
  <c r="C100" i="2" s="1"/>
  <c r="B277" i="1"/>
  <c r="E276" i="1"/>
  <c r="D149" i="1" l="1"/>
  <c r="C150" i="1" s="1"/>
  <c r="F149" i="1"/>
  <c r="D100" i="2"/>
  <c r="E100" i="2" s="1"/>
  <c r="F100" i="2" s="1"/>
  <c r="H100" i="2"/>
  <c r="B278" i="1"/>
  <c r="E277" i="1"/>
  <c r="B403" i="2"/>
  <c r="G402" i="2"/>
  <c r="D150" i="1" l="1"/>
  <c r="C151" i="1" s="1"/>
  <c r="F150" i="1"/>
  <c r="B404" i="2"/>
  <c r="G403" i="2"/>
  <c r="B279" i="1"/>
  <c r="E278" i="1"/>
  <c r="C101" i="2"/>
  <c r="D151" i="1" l="1"/>
  <c r="C152" i="1" s="1"/>
  <c r="F151" i="1"/>
  <c r="D101" i="2"/>
  <c r="E101" i="2" s="1"/>
  <c r="F101" i="2" s="1"/>
  <c r="H101" i="2"/>
  <c r="B405" i="2"/>
  <c r="G404" i="2"/>
  <c r="B280" i="1"/>
  <c r="E279" i="1"/>
  <c r="D152" i="1" l="1"/>
  <c r="C153" i="1" s="1"/>
  <c r="F152" i="1"/>
  <c r="B281" i="1"/>
  <c r="E280" i="1"/>
  <c r="B406" i="2"/>
  <c r="G405" i="2"/>
  <c r="C102" i="2"/>
  <c r="F153" i="1" l="1"/>
  <c r="D153" i="1"/>
  <c r="C154" i="1" s="1"/>
  <c r="B407" i="2"/>
  <c r="G406" i="2"/>
  <c r="E102" i="2"/>
  <c r="F102" i="2" s="1"/>
  <c r="D102" i="2"/>
  <c r="C103" i="2" s="1"/>
  <c r="H102" i="2"/>
  <c r="B282" i="1"/>
  <c r="E281" i="1"/>
  <c r="D103" i="2" l="1"/>
  <c r="H103" i="2"/>
  <c r="F154" i="1"/>
  <c r="D154" i="1"/>
  <c r="C155" i="1"/>
  <c r="B408" i="2"/>
  <c r="G407" i="2"/>
  <c r="B283" i="1"/>
  <c r="E282" i="1"/>
  <c r="B409" i="2" l="1"/>
  <c r="G408" i="2"/>
  <c r="F155" i="1"/>
  <c r="D155" i="1"/>
  <c r="C156" i="1" s="1"/>
  <c r="B284" i="1"/>
  <c r="E283" i="1"/>
  <c r="E103" i="2"/>
  <c r="F103" i="2" s="1"/>
  <c r="C104" i="2" s="1"/>
  <c r="F156" i="1" l="1"/>
  <c r="D156" i="1"/>
  <c r="C157" i="1" s="1"/>
  <c r="D104" i="2"/>
  <c r="E104" i="2" s="1"/>
  <c r="F104" i="2" s="1"/>
  <c r="H104" i="2"/>
  <c r="B285" i="1"/>
  <c r="E284" i="1"/>
  <c r="B410" i="2"/>
  <c r="G409" i="2"/>
  <c r="D157" i="1" l="1"/>
  <c r="C158" i="1" s="1"/>
  <c r="F157" i="1"/>
  <c r="B286" i="1"/>
  <c r="E285" i="1"/>
  <c r="C105" i="2"/>
  <c r="B411" i="2"/>
  <c r="G410" i="2"/>
  <c r="D158" i="1" l="1"/>
  <c r="C159" i="1" s="1"/>
  <c r="F158" i="1"/>
  <c r="B287" i="1"/>
  <c r="E286" i="1"/>
  <c r="B412" i="2"/>
  <c r="G412" i="2" s="1"/>
  <c r="G411" i="2"/>
  <c r="D105" i="2"/>
  <c r="E105" i="2" s="1"/>
  <c r="F105" i="2" s="1"/>
  <c r="H105" i="2"/>
  <c r="F159" i="1" l="1"/>
  <c r="D159" i="1"/>
  <c r="C160" i="1" s="1"/>
  <c r="C106" i="2"/>
  <c r="B288" i="1"/>
  <c r="E287" i="1"/>
  <c r="D160" i="1" l="1"/>
  <c r="C161" i="1" s="1"/>
  <c r="F160" i="1"/>
  <c r="D106" i="2"/>
  <c r="E106" i="2" s="1"/>
  <c r="F106" i="2" s="1"/>
  <c r="H106" i="2"/>
  <c r="B289" i="1"/>
  <c r="E288" i="1"/>
  <c r="D161" i="1" l="1"/>
  <c r="C162" i="1" s="1"/>
  <c r="F161" i="1"/>
  <c r="B290" i="1"/>
  <c r="E289" i="1"/>
  <c r="C107" i="2"/>
  <c r="F162" i="1" l="1"/>
  <c r="D162" i="1"/>
  <c r="C163" i="1" s="1"/>
  <c r="D107" i="2"/>
  <c r="E107" i="2" s="1"/>
  <c r="F107" i="2" s="1"/>
  <c r="H107" i="2"/>
  <c r="B291" i="1"/>
  <c r="E290" i="1"/>
  <c r="F163" i="1" l="1"/>
  <c r="D163" i="1"/>
  <c r="C164" i="1" s="1"/>
  <c r="B292" i="1"/>
  <c r="E291" i="1"/>
  <c r="C108" i="2"/>
  <c r="F164" i="1" l="1"/>
  <c r="D164" i="1"/>
  <c r="C165" i="1" s="1"/>
  <c r="B293" i="1"/>
  <c r="E292" i="1"/>
  <c r="D108" i="2"/>
  <c r="H108" i="2"/>
  <c r="D165" i="1" l="1"/>
  <c r="C166" i="1" s="1"/>
  <c r="F165" i="1"/>
  <c r="B294" i="1"/>
  <c r="E293" i="1"/>
  <c r="E108" i="2"/>
  <c r="F108" i="2" s="1"/>
  <c r="C109" i="2" s="1"/>
  <c r="D109" i="2" l="1"/>
  <c r="H109" i="2"/>
  <c r="D166" i="1"/>
  <c r="C167" i="1" s="1"/>
  <c r="F166" i="1"/>
  <c r="B295" i="1"/>
  <c r="E294" i="1"/>
  <c r="D167" i="1" l="1"/>
  <c r="C168" i="1" s="1"/>
  <c r="F167" i="1"/>
  <c r="B296" i="1"/>
  <c r="E295" i="1"/>
  <c r="E109" i="2"/>
  <c r="F109" i="2" s="1"/>
  <c r="C110" i="2" s="1"/>
  <c r="D110" i="2" l="1"/>
  <c r="H110" i="2"/>
  <c r="D168" i="1"/>
  <c r="C169" i="1" s="1"/>
  <c r="F168" i="1"/>
  <c r="B297" i="1"/>
  <c r="E296" i="1"/>
  <c r="F169" i="1" l="1"/>
  <c r="D169" i="1"/>
  <c r="C170" i="1" s="1"/>
  <c r="B298" i="1"/>
  <c r="E297" i="1"/>
  <c r="E110" i="2"/>
  <c r="F110" i="2" s="1"/>
  <c r="C111" i="2" s="1"/>
  <c r="F170" i="1" l="1"/>
  <c r="D170" i="1"/>
  <c r="C171" i="1" s="1"/>
  <c r="D111" i="2"/>
  <c r="E111" i="2" s="1"/>
  <c r="F111" i="2" s="1"/>
  <c r="H111" i="2"/>
  <c r="B299" i="1"/>
  <c r="E298" i="1"/>
  <c r="C172" i="1" l="1"/>
  <c r="F171" i="1"/>
  <c r="D171" i="1"/>
  <c r="B300" i="1"/>
  <c r="E299" i="1"/>
  <c r="C112" i="2"/>
  <c r="E112" i="2" l="1"/>
  <c r="F112" i="2" s="1"/>
  <c r="C113" i="2" s="1"/>
  <c r="D112" i="2"/>
  <c r="H112" i="2"/>
  <c r="B301" i="1"/>
  <c r="E300" i="1"/>
  <c r="F172" i="1"/>
  <c r="D172" i="1"/>
  <c r="C173" i="1" s="1"/>
  <c r="E113" i="2" l="1"/>
  <c r="F113" i="2" s="1"/>
  <c r="C114" i="2" s="1"/>
  <c r="D113" i="2"/>
  <c r="H113" i="2"/>
  <c r="D173" i="1"/>
  <c r="C174" i="1" s="1"/>
  <c r="F173" i="1"/>
  <c r="B302" i="1"/>
  <c r="E301" i="1"/>
  <c r="E114" i="2" l="1"/>
  <c r="F114" i="2" s="1"/>
  <c r="C115" i="2" s="1"/>
  <c r="D114" i="2"/>
  <c r="H114" i="2"/>
  <c r="D174" i="1"/>
  <c r="C175" i="1" s="1"/>
  <c r="F174" i="1"/>
  <c r="B303" i="1"/>
  <c r="E302" i="1"/>
  <c r="F175" i="1" l="1"/>
  <c r="D175" i="1"/>
  <c r="C176" i="1" s="1"/>
  <c r="E115" i="2"/>
  <c r="F115" i="2" s="1"/>
  <c r="C116" i="2" s="1"/>
  <c r="D115" i="2"/>
  <c r="H115" i="2"/>
  <c r="B304" i="1"/>
  <c r="E303" i="1"/>
  <c r="E116" i="2" l="1"/>
  <c r="F116" i="2" s="1"/>
  <c r="C117" i="2" s="1"/>
  <c r="D116" i="2"/>
  <c r="H116" i="2"/>
  <c r="D176" i="1"/>
  <c r="C177" i="1" s="1"/>
  <c r="F176" i="1"/>
  <c r="B305" i="1"/>
  <c r="E304" i="1"/>
  <c r="F177" i="1" l="1"/>
  <c r="D177" i="1"/>
  <c r="C178" i="1" s="1"/>
  <c r="D117" i="2"/>
  <c r="E117" i="2" s="1"/>
  <c r="F117" i="2" s="1"/>
  <c r="C118" i="2" s="1"/>
  <c r="H117" i="2"/>
  <c r="B306" i="1"/>
  <c r="E305" i="1"/>
  <c r="D118" i="2" l="1"/>
  <c r="H118" i="2"/>
  <c r="D178" i="1"/>
  <c r="C179" i="1"/>
  <c r="F178" i="1"/>
  <c r="B307" i="1"/>
  <c r="E306" i="1"/>
  <c r="B308" i="1" l="1"/>
  <c r="E307" i="1"/>
  <c r="F179" i="1"/>
  <c r="C180" i="1"/>
  <c r="D179" i="1"/>
  <c r="E118" i="2"/>
  <c r="F118" i="2" s="1"/>
  <c r="C119" i="2" s="1"/>
  <c r="D119" i="2" l="1"/>
  <c r="H119" i="2"/>
  <c r="B309" i="1"/>
  <c r="E308" i="1"/>
  <c r="D180" i="1"/>
  <c r="C181" i="1"/>
  <c r="F180" i="1"/>
  <c r="F181" i="1" l="1"/>
  <c r="D181" i="1"/>
  <c r="C182" i="1" s="1"/>
  <c r="E119" i="2"/>
  <c r="F119" i="2" s="1"/>
  <c r="C120" i="2" s="1"/>
  <c r="B310" i="1"/>
  <c r="E309" i="1"/>
  <c r="D120" i="2" l="1"/>
  <c r="H120" i="2"/>
  <c r="D182" i="1"/>
  <c r="F182" i="1"/>
  <c r="C183" i="1"/>
  <c r="B311" i="1"/>
  <c r="E310" i="1"/>
  <c r="F183" i="1" l="1"/>
  <c r="D183" i="1"/>
  <c r="C184" i="1" s="1"/>
  <c r="E120" i="2"/>
  <c r="F120" i="2" s="1"/>
  <c r="C121" i="2" s="1"/>
  <c r="B312" i="1"/>
  <c r="E311" i="1"/>
  <c r="D121" i="2" l="1"/>
  <c r="H121" i="2"/>
  <c r="D184" i="1"/>
  <c r="C185" i="1" s="1"/>
  <c r="F184" i="1"/>
  <c r="B313" i="1"/>
  <c r="E312" i="1"/>
  <c r="F185" i="1" l="1"/>
  <c r="D185" i="1"/>
  <c r="C186" i="1" s="1"/>
  <c r="B314" i="1"/>
  <c r="E313" i="1"/>
  <c r="E121" i="2"/>
  <c r="F121" i="2" s="1"/>
  <c r="C122" i="2" s="1"/>
  <c r="D186" i="1" l="1"/>
  <c r="C187" i="1" s="1"/>
  <c r="F186" i="1"/>
  <c r="D122" i="2"/>
  <c r="H122" i="2"/>
  <c r="B315" i="1"/>
  <c r="E314" i="1"/>
  <c r="F187" i="1" l="1"/>
  <c r="D187" i="1"/>
  <c r="C188" i="1" s="1"/>
  <c r="E122" i="2"/>
  <c r="F122" i="2" s="1"/>
  <c r="C123" i="2" s="1"/>
  <c r="B316" i="1"/>
  <c r="E315" i="1"/>
  <c r="E123" i="2" l="1"/>
  <c r="F123" i="2" s="1"/>
  <c r="D123" i="2"/>
  <c r="C124" i="2" s="1"/>
  <c r="H123" i="2"/>
  <c r="D188" i="1"/>
  <c r="C189" i="1"/>
  <c r="F188" i="1"/>
  <c r="B317" i="1"/>
  <c r="E316" i="1"/>
  <c r="D124" i="2" l="1"/>
  <c r="E124" i="2" s="1"/>
  <c r="F124" i="2" s="1"/>
  <c r="C125" i="2" s="1"/>
  <c r="H124" i="2"/>
  <c r="F189" i="1"/>
  <c r="D189" i="1"/>
  <c r="C190" i="1" s="1"/>
  <c r="B318" i="1"/>
  <c r="E317" i="1"/>
  <c r="D125" i="2" l="1"/>
  <c r="H125" i="2"/>
  <c r="D190" i="1"/>
  <c r="F190" i="1"/>
  <c r="C191" i="1"/>
  <c r="B319" i="1"/>
  <c r="E318" i="1"/>
  <c r="F191" i="1" l="1"/>
  <c r="D191" i="1"/>
  <c r="C192" i="1" s="1"/>
  <c r="B320" i="1"/>
  <c r="E319" i="1"/>
  <c r="E125" i="2"/>
  <c r="F125" i="2" s="1"/>
  <c r="C126" i="2" s="1"/>
  <c r="D192" i="1" l="1"/>
  <c r="C193" i="1"/>
  <c r="F192" i="1"/>
  <c r="D126" i="2"/>
  <c r="E126" i="2" s="1"/>
  <c r="F126" i="2" s="1"/>
  <c r="H126" i="2"/>
  <c r="B321" i="1"/>
  <c r="E320" i="1"/>
  <c r="B322" i="1" l="1"/>
  <c r="E321" i="1"/>
  <c r="C127" i="2"/>
  <c r="F193" i="1"/>
  <c r="D193" i="1"/>
  <c r="C194" i="1" s="1"/>
  <c r="D194" i="1" l="1"/>
  <c r="F194" i="1"/>
  <c r="C195" i="1"/>
  <c r="D127" i="2"/>
  <c r="E127" i="2" s="1"/>
  <c r="F127" i="2" s="1"/>
  <c r="H127" i="2"/>
  <c r="B323" i="1"/>
  <c r="E322" i="1"/>
  <c r="B324" i="1" l="1"/>
  <c r="E323" i="1"/>
  <c r="C128" i="2"/>
  <c r="F195" i="1"/>
  <c r="D195" i="1"/>
  <c r="C196" i="1" s="1"/>
  <c r="D196" i="1" l="1"/>
  <c r="C197" i="1"/>
  <c r="F196" i="1"/>
  <c r="D128" i="2"/>
  <c r="E128" i="2" s="1"/>
  <c r="F128" i="2" s="1"/>
  <c r="H128" i="2"/>
  <c r="B325" i="1"/>
  <c r="E324" i="1"/>
  <c r="B326" i="1" l="1"/>
  <c r="E325" i="1"/>
  <c r="C129" i="2"/>
  <c r="F197" i="1"/>
  <c r="D197" i="1"/>
  <c r="C198" i="1" s="1"/>
  <c r="D198" i="1" l="1"/>
  <c r="C199" i="1"/>
  <c r="F198" i="1"/>
  <c r="D129" i="2"/>
  <c r="E129" i="2" s="1"/>
  <c r="F129" i="2" s="1"/>
  <c r="H129" i="2"/>
  <c r="B327" i="1"/>
  <c r="E326" i="1"/>
  <c r="B328" i="1" l="1"/>
  <c r="E327" i="1"/>
  <c r="C130" i="2"/>
  <c r="F199" i="1"/>
  <c r="D199" i="1"/>
  <c r="C200" i="1" s="1"/>
  <c r="D200" i="1" l="1"/>
  <c r="C201" i="1"/>
  <c r="F200" i="1"/>
  <c r="D130" i="2"/>
  <c r="E130" i="2" s="1"/>
  <c r="F130" i="2" s="1"/>
  <c r="H130" i="2"/>
  <c r="B329" i="1"/>
  <c r="E328" i="1"/>
  <c r="B330" i="1" l="1"/>
  <c r="E329" i="1"/>
  <c r="C131" i="2"/>
  <c r="F201" i="1"/>
  <c r="D201" i="1"/>
  <c r="C202" i="1" s="1"/>
  <c r="D202" i="1" l="1"/>
  <c r="C203" i="1"/>
  <c r="F202" i="1"/>
  <c r="D131" i="2"/>
  <c r="E131" i="2" s="1"/>
  <c r="F131" i="2" s="1"/>
  <c r="H131" i="2"/>
  <c r="B331" i="1"/>
  <c r="E330" i="1"/>
  <c r="B332" i="1" l="1"/>
  <c r="E331" i="1"/>
  <c r="C132" i="2"/>
  <c r="F203" i="1"/>
  <c r="D203" i="1"/>
  <c r="C204" i="1" s="1"/>
  <c r="D204" i="1" l="1"/>
  <c r="C205" i="1"/>
  <c r="F204" i="1"/>
  <c r="D132" i="2"/>
  <c r="E132" i="2" s="1"/>
  <c r="F132" i="2" s="1"/>
  <c r="H132" i="2"/>
  <c r="B333" i="1"/>
  <c r="E332" i="1"/>
  <c r="B334" i="1" l="1"/>
  <c r="E333" i="1"/>
  <c r="C133" i="2"/>
  <c r="F205" i="1"/>
  <c r="D205" i="1"/>
  <c r="C206" i="1" s="1"/>
  <c r="D206" i="1" l="1"/>
  <c r="F206" i="1"/>
  <c r="C207" i="1"/>
  <c r="D133" i="2"/>
  <c r="E133" i="2" s="1"/>
  <c r="F133" i="2" s="1"/>
  <c r="H133" i="2"/>
  <c r="B335" i="1"/>
  <c r="E334" i="1"/>
  <c r="B336" i="1" l="1"/>
  <c r="E335" i="1"/>
  <c r="C134" i="2"/>
  <c r="F207" i="1"/>
  <c r="D207" i="1"/>
  <c r="C208" i="1" s="1"/>
  <c r="D208" i="1" l="1"/>
  <c r="C209" i="1"/>
  <c r="F208" i="1"/>
  <c r="D134" i="2"/>
  <c r="E134" i="2" s="1"/>
  <c r="F134" i="2" s="1"/>
  <c r="H134" i="2"/>
  <c r="B337" i="1"/>
  <c r="E336" i="1"/>
  <c r="B338" i="1" l="1"/>
  <c r="E337" i="1"/>
  <c r="C135" i="2"/>
  <c r="F209" i="1"/>
  <c r="D209" i="1"/>
  <c r="C210" i="1" s="1"/>
  <c r="D210" i="1" l="1"/>
  <c r="C211" i="1"/>
  <c r="F210" i="1"/>
  <c r="D135" i="2"/>
  <c r="E135" i="2" s="1"/>
  <c r="F135" i="2" s="1"/>
  <c r="H135" i="2"/>
  <c r="B339" i="1"/>
  <c r="E338" i="1"/>
  <c r="B340" i="1" l="1"/>
  <c r="E339" i="1"/>
  <c r="C136" i="2"/>
  <c r="F211" i="1"/>
  <c r="D211" i="1"/>
  <c r="C212" i="1" s="1"/>
  <c r="D212" i="1" l="1"/>
  <c r="C213" i="1"/>
  <c r="F212" i="1"/>
  <c r="D136" i="2"/>
  <c r="E136" i="2" s="1"/>
  <c r="F136" i="2" s="1"/>
  <c r="H136" i="2"/>
  <c r="B341" i="1"/>
  <c r="E340" i="1"/>
  <c r="B342" i="1" l="1"/>
  <c r="E341" i="1"/>
  <c r="C137" i="2"/>
  <c r="F213" i="1"/>
  <c r="D213" i="1"/>
  <c r="C214" i="1" s="1"/>
  <c r="D214" i="1" l="1"/>
  <c r="F214" i="1"/>
  <c r="C215" i="1"/>
  <c r="D137" i="2"/>
  <c r="E137" i="2" s="1"/>
  <c r="F137" i="2" s="1"/>
  <c r="H137" i="2"/>
  <c r="B343" i="1"/>
  <c r="E342" i="1"/>
  <c r="B344" i="1" l="1"/>
  <c r="E343" i="1"/>
  <c r="C138" i="2"/>
  <c r="F215" i="1"/>
  <c r="D215" i="1"/>
  <c r="C216" i="1" s="1"/>
  <c r="D216" i="1" l="1"/>
  <c r="C217" i="1"/>
  <c r="F216" i="1"/>
  <c r="D138" i="2"/>
  <c r="E138" i="2" s="1"/>
  <c r="F138" i="2" s="1"/>
  <c r="H138" i="2"/>
  <c r="B345" i="1"/>
  <c r="E344" i="1"/>
  <c r="B346" i="1" l="1"/>
  <c r="E345" i="1"/>
  <c r="C139" i="2"/>
  <c r="F217" i="1"/>
  <c r="D217" i="1"/>
  <c r="C218" i="1" s="1"/>
  <c r="D218" i="1" l="1"/>
  <c r="C219" i="1"/>
  <c r="F218" i="1"/>
  <c r="D139" i="2"/>
  <c r="E139" i="2" s="1"/>
  <c r="F139" i="2" s="1"/>
  <c r="H139" i="2"/>
  <c r="B347" i="1"/>
  <c r="E346" i="1"/>
  <c r="B348" i="1" l="1"/>
  <c r="E347" i="1"/>
  <c r="C140" i="2"/>
  <c r="F219" i="1"/>
  <c r="D219" i="1"/>
  <c r="C220" i="1" s="1"/>
  <c r="D220" i="1" l="1"/>
  <c r="C221" i="1"/>
  <c r="F220" i="1"/>
  <c r="D140" i="2"/>
  <c r="E140" i="2" s="1"/>
  <c r="F140" i="2" s="1"/>
  <c r="H140" i="2"/>
  <c r="B349" i="1"/>
  <c r="E348" i="1"/>
  <c r="B350" i="1" l="1"/>
  <c r="E349" i="1"/>
  <c r="C141" i="2"/>
  <c r="F221" i="1"/>
  <c r="D221" i="1"/>
  <c r="C222" i="1" s="1"/>
  <c r="D222" i="1" l="1"/>
  <c r="F222" i="1"/>
  <c r="C223" i="1"/>
  <c r="D141" i="2"/>
  <c r="E141" i="2" s="1"/>
  <c r="F141" i="2" s="1"/>
  <c r="H141" i="2"/>
  <c r="B351" i="1"/>
  <c r="E350" i="1"/>
  <c r="B352" i="1" l="1"/>
  <c r="E351" i="1"/>
  <c r="C142" i="2"/>
  <c r="F223" i="1"/>
  <c r="D223" i="1"/>
  <c r="C224" i="1" s="1"/>
  <c r="D224" i="1" l="1"/>
  <c r="C225" i="1"/>
  <c r="F224" i="1"/>
  <c r="D142" i="2"/>
  <c r="E142" i="2" s="1"/>
  <c r="F142" i="2" s="1"/>
  <c r="H142" i="2"/>
  <c r="B353" i="1"/>
  <c r="E352" i="1"/>
  <c r="B354" i="1" l="1"/>
  <c r="E353" i="1"/>
  <c r="C143" i="2"/>
  <c r="F225" i="1"/>
  <c r="D225" i="1"/>
  <c r="C226" i="1" s="1"/>
  <c r="D226" i="1" l="1"/>
  <c r="C227" i="1"/>
  <c r="F226" i="1"/>
  <c r="D143" i="2"/>
  <c r="E143" i="2" s="1"/>
  <c r="F143" i="2" s="1"/>
  <c r="H143" i="2"/>
  <c r="B355" i="1"/>
  <c r="E354" i="1"/>
  <c r="B356" i="1" l="1"/>
  <c r="E355" i="1"/>
  <c r="C144" i="2"/>
  <c r="F227" i="1"/>
  <c r="D227" i="1"/>
  <c r="C228" i="1" s="1"/>
  <c r="D228" i="1" l="1"/>
  <c r="C229" i="1"/>
  <c r="F228" i="1"/>
  <c r="D144" i="2"/>
  <c r="E144" i="2" s="1"/>
  <c r="F144" i="2" s="1"/>
  <c r="H144" i="2"/>
  <c r="B357" i="1"/>
  <c r="E356" i="1"/>
  <c r="B358" i="1" l="1"/>
  <c r="E357" i="1"/>
  <c r="C145" i="2"/>
  <c r="F229" i="1"/>
  <c r="D229" i="1"/>
  <c r="C230" i="1" s="1"/>
  <c r="D230" i="1" l="1"/>
  <c r="F230" i="1"/>
  <c r="C231" i="1"/>
  <c r="D145" i="2"/>
  <c r="E145" i="2" s="1"/>
  <c r="F145" i="2" s="1"/>
  <c r="H145" i="2"/>
  <c r="B359" i="1"/>
  <c r="E358" i="1"/>
  <c r="B360" i="1" l="1"/>
  <c r="E359" i="1"/>
  <c r="C146" i="2"/>
  <c r="F231" i="1"/>
  <c r="D231" i="1"/>
  <c r="C232" i="1" s="1"/>
  <c r="D232" i="1" l="1"/>
  <c r="C233" i="1"/>
  <c r="F232" i="1"/>
  <c r="D146" i="2"/>
  <c r="E146" i="2" s="1"/>
  <c r="F146" i="2" s="1"/>
  <c r="H146" i="2"/>
  <c r="B361" i="1"/>
  <c r="E360" i="1"/>
  <c r="B362" i="1" l="1"/>
  <c r="E361" i="1"/>
  <c r="C147" i="2"/>
  <c r="F233" i="1"/>
  <c r="D233" i="1"/>
  <c r="C234" i="1" s="1"/>
  <c r="D234" i="1" l="1"/>
  <c r="C235" i="1"/>
  <c r="F234" i="1"/>
  <c r="D147" i="2"/>
  <c r="E147" i="2" s="1"/>
  <c r="F147" i="2" s="1"/>
  <c r="H147" i="2"/>
  <c r="B363" i="1"/>
  <c r="E362" i="1"/>
  <c r="B364" i="1" l="1"/>
  <c r="E363" i="1"/>
  <c r="C148" i="2"/>
  <c r="F235" i="1"/>
  <c r="D235" i="1"/>
  <c r="C236" i="1" s="1"/>
  <c r="D236" i="1" l="1"/>
  <c r="C237" i="1" s="1"/>
  <c r="F236" i="1"/>
  <c r="E148" i="2"/>
  <c r="F148" i="2" s="1"/>
  <c r="C149" i="2" s="1"/>
  <c r="D148" i="2"/>
  <c r="H148" i="2"/>
  <c r="B365" i="1"/>
  <c r="E364" i="1"/>
  <c r="D149" i="2" l="1"/>
  <c r="H149" i="2"/>
  <c r="F237" i="1"/>
  <c r="D237" i="1"/>
  <c r="C238" i="1" s="1"/>
  <c r="B366" i="1"/>
  <c r="E365" i="1"/>
  <c r="D238" i="1" l="1"/>
  <c r="F238" i="1"/>
  <c r="C239" i="1"/>
  <c r="B367" i="1"/>
  <c r="E366" i="1"/>
  <c r="E149" i="2"/>
  <c r="F149" i="2" s="1"/>
  <c r="C150" i="2" s="1"/>
  <c r="D150" i="2" l="1"/>
  <c r="E150" i="2" s="1"/>
  <c r="F150" i="2" s="1"/>
  <c r="C151" i="2" s="1"/>
  <c r="H150" i="2"/>
  <c r="F239" i="1"/>
  <c r="D239" i="1"/>
  <c r="C240" i="1" s="1"/>
  <c r="B368" i="1"/>
  <c r="E367" i="1"/>
  <c r="D151" i="2" l="1"/>
  <c r="E151" i="2" s="1"/>
  <c r="F151" i="2" s="1"/>
  <c r="C152" i="2" s="1"/>
  <c r="H151" i="2"/>
  <c r="D240" i="1"/>
  <c r="C241" i="1" s="1"/>
  <c r="F240" i="1"/>
  <c r="B369" i="1"/>
  <c r="E368" i="1"/>
  <c r="D152" i="2" l="1"/>
  <c r="E152" i="2" s="1"/>
  <c r="F152" i="2" s="1"/>
  <c r="C153" i="2" s="1"/>
  <c r="H152" i="2"/>
  <c r="F241" i="1"/>
  <c r="D241" i="1"/>
  <c r="C242" i="1" s="1"/>
  <c r="B370" i="1"/>
  <c r="E369" i="1"/>
  <c r="D153" i="2" l="1"/>
  <c r="E153" i="2" s="1"/>
  <c r="F153" i="2" s="1"/>
  <c r="C154" i="2" s="1"/>
  <c r="H153" i="2"/>
  <c r="D242" i="1"/>
  <c r="C243" i="1" s="1"/>
  <c r="F242" i="1"/>
  <c r="B371" i="1"/>
  <c r="E370" i="1"/>
  <c r="D154" i="2" l="1"/>
  <c r="E154" i="2" s="1"/>
  <c r="F154" i="2" s="1"/>
  <c r="C155" i="2" s="1"/>
  <c r="H154" i="2"/>
  <c r="F243" i="1"/>
  <c r="D243" i="1"/>
  <c r="C244" i="1" s="1"/>
  <c r="B372" i="1"/>
  <c r="E371" i="1"/>
  <c r="D155" i="2" l="1"/>
  <c r="E155" i="2" s="1"/>
  <c r="F155" i="2" s="1"/>
  <c r="C156" i="2" s="1"/>
  <c r="H155" i="2"/>
  <c r="D244" i="1"/>
  <c r="C245" i="1" s="1"/>
  <c r="F244" i="1"/>
  <c r="B373" i="1"/>
  <c r="E372" i="1"/>
  <c r="D156" i="2" l="1"/>
  <c r="E156" i="2" s="1"/>
  <c r="F156" i="2" s="1"/>
  <c r="C157" i="2" s="1"/>
  <c r="H156" i="2"/>
  <c r="F245" i="1"/>
  <c r="D245" i="1"/>
  <c r="C246" i="1" s="1"/>
  <c r="B374" i="1"/>
  <c r="E373" i="1"/>
  <c r="D157" i="2" l="1"/>
  <c r="E157" i="2" s="1"/>
  <c r="F157" i="2" s="1"/>
  <c r="C158" i="2" s="1"/>
  <c r="H157" i="2"/>
  <c r="D246" i="1"/>
  <c r="C247" i="1" s="1"/>
  <c r="F246" i="1"/>
  <c r="B375" i="1"/>
  <c r="E374" i="1"/>
  <c r="E158" i="2" l="1"/>
  <c r="F158" i="2" s="1"/>
  <c r="C159" i="2" s="1"/>
  <c r="D158" i="2"/>
  <c r="H158" i="2"/>
  <c r="F247" i="1"/>
  <c r="C248" i="1"/>
  <c r="D247" i="1"/>
  <c r="B376" i="1"/>
  <c r="E375" i="1"/>
  <c r="E159" i="2" l="1"/>
  <c r="F159" i="2" s="1"/>
  <c r="C160" i="2" s="1"/>
  <c r="D159" i="2"/>
  <c r="H159" i="2"/>
  <c r="B377" i="1"/>
  <c r="E376" i="1"/>
  <c r="D248" i="1"/>
  <c r="C249" i="1"/>
  <c r="F248" i="1"/>
  <c r="E160" i="2" l="1"/>
  <c r="F160" i="2" s="1"/>
  <c r="C161" i="2" s="1"/>
  <c r="D160" i="2"/>
  <c r="H160" i="2"/>
  <c r="F249" i="1"/>
  <c r="C250" i="1"/>
  <c r="D249" i="1"/>
  <c r="B378" i="1"/>
  <c r="E377" i="1"/>
  <c r="E161" i="2" l="1"/>
  <c r="F161" i="2" s="1"/>
  <c r="C162" i="2" s="1"/>
  <c r="D161" i="2"/>
  <c r="H161" i="2"/>
  <c r="D250" i="1"/>
  <c r="C251" i="1"/>
  <c r="F250" i="1"/>
  <c r="B379" i="1"/>
  <c r="E378" i="1"/>
  <c r="D162" i="2" l="1"/>
  <c r="H162" i="2"/>
  <c r="B380" i="1"/>
  <c r="E379" i="1"/>
  <c r="F251" i="1"/>
  <c r="D251" i="1"/>
  <c r="C252" i="1" s="1"/>
  <c r="D252" i="1" l="1"/>
  <c r="C253" i="1"/>
  <c r="F252" i="1"/>
  <c r="E162" i="2"/>
  <c r="F162" i="2" s="1"/>
  <c r="C163" i="2" s="1"/>
  <c r="B381" i="1"/>
  <c r="E380" i="1"/>
  <c r="D163" i="2" l="1"/>
  <c r="H163" i="2"/>
  <c r="F253" i="1"/>
  <c r="D253" i="1"/>
  <c r="C254" i="1" s="1"/>
  <c r="B382" i="1"/>
  <c r="E381" i="1"/>
  <c r="D254" i="1" l="1"/>
  <c r="F254" i="1"/>
  <c r="C255" i="1"/>
  <c r="C164" i="2"/>
  <c r="B383" i="1"/>
  <c r="E382" i="1"/>
  <c r="E163" i="2"/>
  <c r="F163" i="2" s="1"/>
  <c r="D164" i="2" l="1"/>
  <c r="H164" i="2"/>
  <c r="F255" i="1"/>
  <c r="D255" i="1"/>
  <c r="C256" i="1" s="1"/>
  <c r="B384" i="1"/>
  <c r="E383" i="1"/>
  <c r="D256" i="1" l="1"/>
  <c r="C257" i="1"/>
  <c r="F256" i="1"/>
  <c r="B385" i="1"/>
  <c r="E384" i="1"/>
  <c r="E164" i="2"/>
  <c r="F164" i="2" s="1"/>
  <c r="C165" i="2" s="1"/>
  <c r="D165" i="2" l="1"/>
  <c r="H165" i="2"/>
  <c r="F257" i="1"/>
  <c r="D257" i="1"/>
  <c r="C258" i="1" s="1"/>
  <c r="B386" i="1"/>
  <c r="E385" i="1"/>
  <c r="C166" i="2" l="1"/>
  <c r="D258" i="1"/>
  <c r="C259" i="1" s="1"/>
  <c r="F258" i="1"/>
  <c r="B387" i="1"/>
  <c r="E386" i="1"/>
  <c r="E165" i="2"/>
  <c r="F165" i="2" s="1"/>
  <c r="F259" i="1" l="1"/>
  <c r="C260" i="1"/>
  <c r="D259" i="1"/>
  <c r="B388" i="1"/>
  <c r="E387" i="1"/>
  <c r="D166" i="2"/>
  <c r="E166" i="2" s="1"/>
  <c r="F166" i="2" s="1"/>
  <c r="C167" i="2" s="1"/>
  <c r="H166" i="2"/>
  <c r="E167" i="2" l="1"/>
  <c r="F167" i="2" s="1"/>
  <c r="C168" i="2" s="1"/>
  <c r="D167" i="2"/>
  <c r="H167" i="2"/>
  <c r="D260" i="1"/>
  <c r="C261" i="1"/>
  <c r="F260" i="1"/>
  <c r="B389" i="1"/>
  <c r="E388" i="1"/>
  <c r="E168" i="2" l="1"/>
  <c r="F168" i="2" s="1"/>
  <c r="C169" i="2" s="1"/>
  <c r="D168" i="2"/>
  <c r="H168" i="2"/>
  <c r="F261" i="1"/>
  <c r="C262" i="1"/>
  <c r="D261" i="1"/>
  <c r="B390" i="1"/>
  <c r="E389" i="1"/>
  <c r="E169" i="2" l="1"/>
  <c r="F169" i="2" s="1"/>
  <c r="D169" i="2"/>
  <c r="C170" i="2" s="1"/>
  <c r="H169" i="2"/>
  <c r="B391" i="1"/>
  <c r="E390" i="1"/>
  <c r="D262" i="1"/>
  <c r="F262" i="1"/>
  <c r="C263" i="1"/>
  <c r="D170" i="2" l="1"/>
  <c r="H170" i="2"/>
  <c r="F263" i="1"/>
  <c r="D263" i="1"/>
  <c r="C264" i="1" s="1"/>
  <c r="B392" i="1"/>
  <c r="E391" i="1"/>
  <c r="D264" i="1" l="1"/>
  <c r="C265" i="1"/>
  <c r="F264" i="1"/>
  <c r="C171" i="2"/>
  <c r="B393" i="1"/>
  <c r="E392" i="1"/>
  <c r="E170" i="2"/>
  <c r="F170" i="2" s="1"/>
  <c r="E171" i="2" l="1"/>
  <c r="F171" i="2" s="1"/>
  <c r="D171" i="2"/>
  <c r="C172" i="2" s="1"/>
  <c r="H171" i="2"/>
  <c r="F265" i="1"/>
  <c r="C266" i="1"/>
  <c r="D265" i="1"/>
  <c r="B394" i="1"/>
  <c r="E393" i="1"/>
  <c r="E172" i="2" l="1"/>
  <c r="F172" i="2" s="1"/>
  <c r="D172" i="2"/>
  <c r="C173" i="2" s="1"/>
  <c r="H172" i="2"/>
  <c r="D266" i="1"/>
  <c r="C267" i="1"/>
  <c r="F266" i="1"/>
  <c r="B395" i="1"/>
  <c r="E394" i="1"/>
  <c r="E173" i="2" l="1"/>
  <c r="F173" i="2" s="1"/>
  <c r="C174" i="2" s="1"/>
  <c r="D173" i="2"/>
  <c r="H173" i="2"/>
  <c r="F267" i="1"/>
  <c r="C268" i="1"/>
  <c r="D267" i="1"/>
  <c r="B396" i="1"/>
  <c r="E395" i="1"/>
  <c r="E174" i="2" l="1"/>
  <c r="F174" i="2" s="1"/>
  <c r="D174" i="2"/>
  <c r="C175" i="2" s="1"/>
  <c r="H174" i="2"/>
  <c r="D268" i="1"/>
  <c r="C269" i="1"/>
  <c r="F268" i="1"/>
  <c r="B397" i="1"/>
  <c r="E396" i="1"/>
  <c r="E175" i="2" l="1"/>
  <c r="F175" i="2" s="1"/>
  <c r="D175" i="2"/>
  <c r="C176" i="2" s="1"/>
  <c r="H175" i="2"/>
  <c r="F269" i="1"/>
  <c r="C270" i="1"/>
  <c r="D269" i="1"/>
  <c r="B398" i="1"/>
  <c r="E397" i="1"/>
  <c r="E176" i="2" l="1"/>
  <c r="F176" i="2" s="1"/>
  <c r="D176" i="2"/>
  <c r="C177" i="2" s="1"/>
  <c r="H176" i="2"/>
  <c r="B399" i="1"/>
  <c r="E398" i="1"/>
  <c r="D270" i="1"/>
  <c r="F270" i="1"/>
  <c r="C271" i="1"/>
  <c r="E177" i="2" l="1"/>
  <c r="F177" i="2" s="1"/>
  <c r="D177" i="2"/>
  <c r="C178" i="2" s="1"/>
  <c r="H177" i="2"/>
  <c r="F271" i="1"/>
  <c r="C272" i="1"/>
  <c r="D271" i="1"/>
  <c r="B400" i="1"/>
  <c r="E399" i="1"/>
  <c r="E178" i="2" l="1"/>
  <c r="F178" i="2" s="1"/>
  <c r="D178" i="2"/>
  <c r="C179" i="2" s="1"/>
  <c r="H178" i="2"/>
  <c r="D272" i="1"/>
  <c r="C273" i="1"/>
  <c r="F272" i="1"/>
  <c r="B401" i="1"/>
  <c r="E400" i="1"/>
  <c r="E179" i="2" l="1"/>
  <c r="F179" i="2" s="1"/>
  <c r="D179" i="2"/>
  <c r="C180" i="2" s="1"/>
  <c r="H179" i="2"/>
  <c r="F273" i="1"/>
  <c r="C274" i="1"/>
  <c r="D273" i="1"/>
  <c r="B402" i="1"/>
  <c r="E401" i="1"/>
  <c r="E180" i="2" l="1"/>
  <c r="F180" i="2" s="1"/>
  <c r="D180" i="2"/>
  <c r="C181" i="2" s="1"/>
  <c r="H180" i="2"/>
  <c r="D274" i="1"/>
  <c r="C275" i="1"/>
  <c r="F274" i="1"/>
  <c r="B403" i="1"/>
  <c r="E402" i="1"/>
  <c r="E181" i="2" l="1"/>
  <c r="F181" i="2" s="1"/>
  <c r="D181" i="2"/>
  <c r="C182" i="2" s="1"/>
  <c r="H181" i="2"/>
  <c r="F275" i="1"/>
  <c r="C276" i="1"/>
  <c r="D275" i="1"/>
  <c r="B404" i="1"/>
  <c r="E403" i="1"/>
  <c r="E182" i="2" l="1"/>
  <c r="F182" i="2" s="1"/>
  <c r="D182" i="2"/>
  <c r="C183" i="2" s="1"/>
  <c r="H182" i="2"/>
  <c r="D276" i="1"/>
  <c r="C277" i="1"/>
  <c r="F276" i="1"/>
  <c r="B405" i="1"/>
  <c r="E404" i="1"/>
  <c r="E183" i="2" l="1"/>
  <c r="F183" i="2" s="1"/>
  <c r="D183" i="2"/>
  <c r="C184" i="2" s="1"/>
  <c r="H183" i="2"/>
  <c r="F277" i="1"/>
  <c r="C278" i="1"/>
  <c r="D277" i="1"/>
  <c r="B406" i="1"/>
  <c r="E405" i="1"/>
  <c r="E184" i="2" l="1"/>
  <c r="F184" i="2" s="1"/>
  <c r="D184" i="2"/>
  <c r="C185" i="2" s="1"/>
  <c r="H184" i="2"/>
  <c r="B407" i="1"/>
  <c r="E406" i="1"/>
  <c r="D278" i="1"/>
  <c r="F278" i="1"/>
  <c r="C279" i="1"/>
  <c r="D185" i="2" l="1"/>
  <c r="H185" i="2"/>
  <c r="F279" i="1"/>
  <c r="C280" i="1"/>
  <c r="D279" i="1"/>
  <c r="B408" i="1"/>
  <c r="E407" i="1"/>
  <c r="D280" i="1" l="1"/>
  <c r="C281" i="1" s="1"/>
  <c r="F280" i="1"/>
  <c r="B409" i="1"/>
  <c r="E408" i="1"/>
  <c r="E185" i="2"/>
  <c r="F185" i="2" s="1"/>
  <c r="C186" i="2" s="1"/>
  <c r="F281" i="1" l="1"/>
  <c r="C282" i="1"/>
  <c r="D281" i="1"/>
  <c r="E186" i="2"/>
  <c r="F186" i="2" s="1"/>
  <c r="C187" i="2" s="1"/>
  <c r="H186" i="2"/>
  <c r="D186" i="2"/>
  <c r="B410" i="1"/>
  <c r="E409" i="1"/>
  <c r="D187" i="2" l="1"/>
  <c r="H187" i="2"/>
  <c r="B411" i="1"/>
  <c r="E410" i="1"/>
  <c r="D282" i="1"/>
  <c r="C283" i="1"/>
  <c r="F282" i="1"/>
  <c r="F283" i="1" l="1"/>
  <c r="D283" i="1"/>
  <c r="C284" i="1" s="1"/>
  <c r="E187" i="2"/>
  <c r="F187" i="2" s="1"/>
  <c r="C188" i="2" s="1"/>
  <c r="B412" i="1"/>
  <c r="E412" i="1" s="1"/>
  <c r="E411" i="1"/>
  <c r="D188" i="2" l="1"/>
  <c r="E188" i="2" s="1"/>
  <c r="F188" i="2" s="1"/>
  <c r="C189" i="2" s="1"/>
  <c r="H188" i="2"/>
  <c r="D284" i="1"/>
  <c r="C285" i="1" s="1"/>
  <c r="F284" i="1"/>
  <c r="D189" i="2" l="1"/>
  <c r="C190" i="2" s="1"/>
  <c r="H189" i="2"/>
  <c r="E189" i="2"/>
  <c r="F189" i="2" s="1"/>
  <c r="F285" i="1"/>
  <c r="D285" i="1"/>
  <c r="C286" i="1" s="1"/>
  <c r="D286" i="1" l="1"/>
  <c r="C287" i="1" s="1"/>
  <c r="F286" i="1"/>
  <c r="E190" i="2"/>
  <c r="F190" i="2" s="1"/>
  <c r="H190" i="2"/>
  <c r="D190" i="2"/>
  <c r="C191" i="2" s="1"/>
  <c r="F287" i="1" l="1"/>
  <c r="C288" i="1"/>
  <c r="D287" i="1"/>
  <c r="D191" i="2"/>
  <c r="E191" i="2" s="1"/>
  <c r="F191" i="2" s="1"/>
  <c r="H191" i="2"/>
  <c r="C192" i="2" l="1"/>
  <c r="D288" i="1"/>
  <c r="C289" i="1"/>
  <c r="F288" i="1"/>
  <c r="D192" i="2" l="1"/>
  <c r="H192" i="2"/>
  <c r="F289" i="1"/>
  <c r="D289" i="1"/>
  <c r="C290" i="1" s="1"/>
  <c r="D290" i="1" l="1"/>
  <c r="C291" i="1"/>
  <c r="F290" i="1"/>
  <c r="E192" i="2"/>
  <c r="F192" i="2" s="1"/>
  <c r="C193" i="2" s="1"/>
  <c r="D193" i="2" l="1"/>
  <c r="H193" i="2"/>
  <c r="E193" i="2"/>
  <c r="F193" i="2" s="1"/>
  <c r="C194" i="2" s="1"/>
  <c r="F291" i="1"/>
  <c r="D291" i="1"/>
  <c r="C292" i="1" s="1"/>
  <c r="D292" i="1" l="1"/>
  <c r="C293" i="1" s="1"/>
  <c r="F292" i="1"/>
  <c r="E194" i="2"/>
  <c r="F194" i="2" s="1"/>
  <c r="C195" i="2" s="1"/>
  <c r="H194" i="2"/>
  <c r="D194" i="2"/>
  <c r="D195" i="2" l="1"/>
  <c r="C196" i="2" s="1"/>
  <c r="H195" i="2"/>
  <c r="E195" i="2"/>
  <c r="F195" i="2" s="1"/>
  <c r="F293" i="1"/>
  <c r="D293" i="1"/>
  <c r="C294" i="1" s="1"/>
  <c r="D294" i="1" l="1"/>
  <c r="C295" i="1" s="1"/>
  <c r="F294" i="1"/>
  <c r="E196" i="2"/>
  <c r="F196" i="2" s="1"/>
  <c r="C197" i="2" s="1"/>
  <c r="D196" i="2"/>
  <c r="H196" i="2"/>
  <c r="D197" i="2" l="1"/>
  <c r="C198" i="2" s="1"/>
  <c r="H197" i="2"/>
  <c r="E197" i="2"/>
  <c r="F197" i="2" s="1"/>
  <c r="F295" i="1"/>
  <c r="D295" i="1"/>
  <c r="C296" i="1" s="1"/>
  <c r="D296" i="1" l="1"/>
  <c r="C297" i="1"/>
  <c r="F296" i="1"/>
  <c r="H198" i="2"/>
  <c r="D198" i="2"/>
  <c r="E198" i="2" s="1"/>
  <c r="F198" i="2" s="1"/>
  <c r="C199" i="2" s="1"/>
  <c r="C200" i="2" l="1"/>
  <c r="D199" i="2"/>
  <c r="H199" i="2"/>
  <c r="E199" i="2"/>
  <c r="F199" i="2" s="1"/>
  <c r="F297" i="1"/>
  <c r="D297" i="1"/>
  <c r="C298" i="1" s="1"/>
  <c r="D298" i="1" l="1"/>
  <c r="C299" i="1"/>
  <c r="F298" i="1"/>
  <c r="D200" i="2"/>
  <c r="E200" i="2" s="1"/>
  <c r="F200" i="2" s="1"/>
  <c r="C201" i="2" s="1"/>
  <c r="H200" i="2"/>
  <c r="D201" i="2" l="1"/>
  <c r="H201" i="2"/>
  <c r="E201" i="2"/>
  <c r="F201" i="2" s="1"/>
  <c r="C202" i="2" s="1"/>
  <c r="F299" i="1"/>
  <c r="D299" i="1"/>
  <c r="C300" i="1" s="1"/>
  <c r="H202" i="2" l="1"/>
  <c r="D202" i="2"/>
  <c r="D300" i="1"/>
  <c r="C301" i="1" s="1"/>
  <c r="F300" i="1"/>
  <c r="F301" i="1" l="1"/>
  <c r="C302" i="1"/>
  <c r="D301" i="1"/>
  <c r="E202" i="2"/>
  <c r="F202" i="2" s="1"/>
  <c r="C203" i="2" s="1"/>
  <c r="D203" i="2" l="1"/>
  <c r="H203" i="2"/>
  <c r="E203" i="2"/>
  <c r="F203" i="2" s="1"/>
  <c r="C204" i="2" s="1"/>
  <c r="D302" i="1"/>
  <c r="C303" i="1" s="1"/>
  <c r="F302" i="1"/>
  <c r="F303" i="1" l="1"/>
  <c r="D303" i="1"/>
  <c r="C304" i="1" s="1"/>
  <c r="D204" i="2"/>
  <c r="E204" i="2" s="1"/>
  <c r="F204" i="2" s="1"/>
  <c r="H204" i="2"/>
  <c r="D304" i="1" l="1"/>
  <c r="C305" i="1"/>
  <c r="F304" i="1"/>
  <c r="C205" i="2"/>
  <c r="F305" i="1" l="1"/>
  <c r="D305" i="1"/>
  <c r="C306" i="1" s="1"/>
  <c r="D205" i="2"/>
  <c r="C206" i="2" s="1"/>
  <c r="H205" i="2"/>
  <c r="E205" i="2"/>
  <c r="F205" i="2" s="1"/>
  <c r="D306" i="1" l="1"/>
  <c r="C307" i="1" s="1"/>
  <c r="F306" i="1"/>
  <c r="H206" i="2"/>
  <c r="D206" i="2"/>
  <c r="F307" i="1" l="1"/>
  <c r="C308" i="1"/>
  <c r="D307" i="1"/>
  <c r="E206" i="2"/>
  <c r="F206" i="2" s="1"/>
  <c r="C207" i="2" s="1"/>
  <c r="D207" i="2" l="1"/>
  <c r="H207" i="2"/>
  <c r="D308" i="1"/>
  <c r="C309" i="1" s="1"/>
  <c r="F308" i="1"/>
  <c r="F309" i="1" l="1"/>
  <c r="D309" i="1"/>
  <c r="C310" i="1" s="1"/>
  <c r="E207" i="2"/>
  <c r="F207" i="2" s="1"/>
  <c r="C208" i="2" s="1"/>
  <c r="D208" i="2" l="1"/>
  <c r="H208" i="2"/>
  <c r="D310" i="1"/>
  <c r="F310" i="1"/>
  <c r="C311" i="1"/>
  <c r="E208" i="2" l="1"/>
  <c r="F208" i="2" s="1"/>
  <c r="C209" i="2" s="1"/>
  <c r="F311" i="1"/>
  <c r="D311" i="1"/>
  <c r="C312" i="1" s="1"/>
  <c r="D312" i="1" l="1"/>
  <c r="C313" i="1"/>
  <c r="F312" i="1"/>
  <c r="D209" i="2"/>
  <c r="C210" i="2" s="1"/>
  <c r="H209" i="2"/>
  <c r="E209" i="2"/>
  <c r="F209" i="2" s="1"/>
  <c r="E210" i="2" l="1"/>
  <c r="F210" i="2" s="1"/>
  <c r="H210" i="2"/>
  <c r="D210" i="2"/>
  <c r="C211" i="2" s="1"/>
  <c r="F313" i="1"/>
  <c r="D313" i="1"/>
  <c r="C314" i="1" s="1"/>
  <c r="D211" i="2" l="1"/>
  <c r="H211" i="2"/>
  <c r="D314" i="1"/>
  <c r="C315" i="1"/>
  <c r="F314" i="1"/>
  <c r="E211" i="2" l="1"/>
  <c r="F211" i="2" s="1"/>
  <c r="C212" i="2" s="1"/>
  <c r="F315" i="1"/>
  <c r="D315" i="1"/>
  <c r="C316" i="1" s="1"/>
  <c r="D316" i="1" l="1"/>
  <c r="C317" i="1" s="1"/>
  <c r="F316" i="1"/>
  <c r="D212" i="2"/>
  <c r="H212" i="2"/>
  <c r="F317" i="1" l="1"/>
  <c r="C318" i="1"/>
  <c r="D317" i="1"/>
  <c r="E212" i="2"/>
  <c r="F212" i="2" s="1"/>
  <c r="C213" i="2" s="1"/>
  <c r="D213" i="2" l="1"/>
  <c r="H213" i="2"/>
  <c r="D318" i="1"/>
  <c r="F318" i="1"/>
  <c r="C319" i="1"/>
  <c r="F319" i="1" l="1"/>
  <c r="C320" i="1"/>
  <c r="D319" i="1"/>
  <c r="E213" i="2"/>
  <c r="F213" i="2" s="1"/>
  <c r="C214" i="2" s="1"/>
  <c r="H214" i="2" l="1"/>
  <c r="D214" i="2"/>
  <c r="E214" i="2" s="1"/>
  <c r="F214" i="2" s="1"/>
  <c r="C215" i="2" s="1"/>
  <c r="D320" i="1"/>
  <c r="C321" i="1" s="1"/>
  <c r="F320" i="1"/>
  <c r="D215" i="2" l="1"/>
  <c r="H215" i="2"/>
  <c r="F321" i="1"/>
  <c r="D321" i="1"/>
  <c r="C322" i="1" s="1"/>
  <c r="D322" i="1" l="1"/>
  <c r="C323" i="1" s="1"/>
  <c r="F322" i="1"/>
  <c r="E215" i="2"/>
  <c r="F215" i="2" s="1"/>
  <c r="C216" i="2" s="1"/>
  <c r="D216" i="2" l="1"/>
  <c r="H216" i="2"/>
  <c r="F323" i="1"/>
  <c r="D323" i="1"/>
  <c r="C324" i="1" s="1"/>
  <c r="D324" i="1" l="1"/>
  <c r="C325" i="1"/>
  <c r="F324" i="1"/>
  <c r="E216" i="2"/>
  <c r="F216" i="2" s="1"/>
  <c r="C217" i="2" s="1"/>
  <c r="D217" i="2" l="1"/>
  <c r="H217" i="2"/>
  <c r="F325" i="1"/>
  <c r="D325" i="1"/>
  <c r="C326" i="1" s="1"/>
  <c r="D326" i="1" l="1"/>
  <c r="F326" i="1"/>
  <c r="C327" i="1"/>
  <c r="E217" i="2"/>
  <c r="F217" i="2" s="1"/>
  <c r="C218" i="2" s="1"/>
  <c r="E218" i="2" l="1"/>
  <c r="F218" i="2" s="1"/>
  <c r="H218" i="2"/>
  <c r="D218" i="2"/>
  <c r="C219" i="2" s="1"/>
  <c r="F327" i="1"/>
  <c r="D327" i="1"/>
  <c r="C328" i="1" s="1"/>
  <c r="D219" i="2" l="1"/>
  <c r="H219" i="2"/>
  <c r="D328" i="1"/>
  <c r="C329" i="1"/>
  <c r="F328" i="1"/>
  <c r="E219" i="2" l="1"/>
  <c r="F219" i="2" s="1"/>
  <c r="C220" i="2" s="1"/>
  <c r="F329" i="1"/>
  <c r="C330" i="1"/>
  <c r="D329" i="1"/>
  <c r="D220" i="2" l="1"/>
  <c r="H220" i="2"/>
  <c r="D330" i="1"/>
  <c r="C331" i="1" s="1"/>
  <c r="F330" i="1"/>
  <c r="F331" i="1" l="1"/>
  <c r="C332" i="1"/>
  <c r="D331" i="1"/>
  <c r="E220" i="2"/>
  <c r="F220" i="2" s="1"/>
  <c r="C221" i="2" s="1"/>
  <c r="D221" i="2" l="1"/>
  <c r="E221" i="2" s="1"/>
  <c r="F221" i="2" s="1"/>
  <c r="H221" i="2"/>
  <c r="D332" i="1"/>
  <c r="C333" i="1" s="1"/>
  <c r="F332" i="1"/>
  <c r="F333" i="1" l="1"/>
  <c r="D333" i="1"/>
  <c r="C334" i="1" s="1"/>
  <c r="C222" i="2"/>
  <c r="D334" i="1" l="1"/>
  <c r="F334" i="1"/>
  <c r="C335" i="1"/>
  <c r="H222" i="2"/>
  <c r="D222" i="2"/>
  <c r="E222" i="2" s="1"/>
  <c r="F222" i="2" s="1"/>
  <c r="C223" i="2" s="1"/>
  <c r="D223" i="2" l="1"/>
  <c r="C224" i="2" s="1"/>
  <c r="H223" i="2"/>
  <c r="E223" i="2"/>
  <c r="F223" i="2" s="1"/>
  <c r="F335" i="1"/>
  <c r="D335" i="1"/>
  <c r="C336" i="1" s="1"/>
  <c r="D336" i="1" l="1"/>
  <c r="C337" i="1" s="1"/>
  <c r="F336" i="1"/>
  <c r="E224" i="2"/>
  <c r="F224" i="2" s="1"/>
  <c r="C225" i="2" s="1"/>
  <c r="D224" i="2"/>
  <c r="H224" i="2"/>
  <c r="F337" i="1" l="1"/>
  <c r="D337" i="1"/>
  <c r="C338" i="1" s="1"/>
  <c r="C226" i="2"/>
  <c r="D225" i="2"/>
  <c r="H225" i="2"/>
  <c r="E225" i="2"/>
  <c r="F225" i="2" s="1"/>
  <c r="D338" i="1" l="1"/>
  <c r="C339" i="1" s="1"/>
  <c r="F338" i="1"/>
  <c r="E226" i="2"/>
  <c r="F226" i="2" s="1"/>
  <c r="C227" i="2" s="1"/>
  <c r="H226" i="2"/>
  <c r="D226" i="2"/>
  <c r="D227" i="2" l="1"/>
  <c r="C228" i="2" s="1"/>
  <c r="H227" i="2"/>
  <c r="E227" i="2"/>
  <c r="F227" i="2" s="1"/>
  <c r="F339" i="1"/>
  <c r="D339" i="1"/>
  <c r="C340" i="1" s="1"/>
  <c r="D340" i="1" l="1"/>
  <c r="C341" i="1" s="1"/>
  <c r="F340" i="1"/>
  <c r="E228" i="2"/>
  <c r="F228" i="2" s="1"/>
  <c r="C229" i="2" s="1"/>
  <c r="D228" i="2"/>
  <c r="H228" i="2"/>
  <c r="F341" i="1" l="1"/>
  <c r="C342" i="1"/>
  <c r="D341" i="1"/>
  <c r="D229" i="2"/>
  <c r="E229" i="2" s="1"/>
  <c r="F229" i="2" s="1"/>
  <c r="H229" i="2"/>
  <c r="D342" i="1" l="1"/>
  <c r="C343" i="1" s="1"/>
  <c r="F342" i="1"/>
  <c r="C230" i="2"/>
  <c r="F343" i="1" l="1"/>
  <c r="C344" i="1"/>
  <c r="D343" i="1"/>
  <c r="H230" i="2"/>
  <c r="D230" i="2"/>
  <c r="E230" i="2" s="1"/>
  <c r="F230" i="2" s="1"/>
  <c r="C231" i="2" s="1"/>
  <c r="D231" i="2" l="1"/>
  <c r="H231" i="2"/>
  <c r="D344" i="1"/>
  <c r="C345" i="1"/>
  <c r="F344" i="1"/>
  <c r="E231" i="2" l="1"/>
  <c r="F231" i="2" s="1"/>
  <c r="C232" i="2" s="1"/>
  <c r="F345" i="1"/>
  <c r="D345" i="1"/>
  <c r="C346" i="1" s="1"/>
  <c r="D346" i="1" l="1"/>
  <c r="C347" i="1"/>
  <c r="F346" i="1"/>
  <c r="D232" i="2"/>
  <c r="E232" i="2" s="1"/>
  <c r="F232" i="2" s="1"/>
  <c r="H232" i="2"/>
  <c r="F347" i="1" l="1"/>
  <c r="C348" i="1"/>
  <c r="D347" i="1"/>
  <c r="C233" i="2"/>
  <c r="D233" i="2" l="1"/>
  <c r="H233" i="2"/>
  <c r="D348" i="1"/>
  <c r="C349" i="1"/>
  <c r="F348" i="1"/>
  <c r="E233" i="2" l="1"/>
  <c r="F233" i="2" s="1"/>
  <c r="C234" i="2" s="1"/>
  <c r="F349" i="1"/>
  <c r="D349" i="1"/>
  <c r="C350" i="1" s="1"/>
  <c r="D350" i="1" l="1"/>
  <c r="C351" i="1"/>
  <c r="F350" i="1"/>
  <c r="E234" i="2"/>
  <c r="F234" i="2" s="1"/>
  <c r="C235" i="2" s="1"/>
  <c r="H234" i="2"/>
  <c r="D234" i="2"/>
  <c r="D235" i="2" l="1"/>
  <c r="H235" i="2"/>
  <c r="F351" i="1"/>
  <c r="C352" i="1"/>
  <c r="D351" i="1"/>
  <c r="E235" i="2" l="1"/>
  <c r="F235" i="2" s="1"/>
  <c r="C236" i="2" s="1"/>
  <c r="D352" i="1"/>
  <c r="C353" i="1"/>
  <c r="F352" i="1"/>
  <c r="E236" i="2" l="1"/>
  <c r="F236" i="2" s="1"/>
  <c r="C237" i="2" s="1"/>
  <c r="D236" i="2"/>
  <c r="H236" i="2"/>
  <c r="F353" i="1"/>
  <c r="C354" i="1"/>
  <c r="D353" i="1"/>
  <c r="D237" i="2" l="1"/>
  <c r="H237" i="2"/>
  <c r="D354" i="1"/>
  <c r="C355" i="1" s="1"/>
  <c r="F354" i="1"/>
  <c r="F355" i="1" l="1"/>
  <c r="D355" i="1"/>
  <c r="C356" i="1" s="1"/>
  <c r="E237" i="2"/>
  <c r="F237" i="2" s="1"/>
  <c r="C238" i="2" s="1"/>
  <c r="D356" i="1" l="1"/>
  <c r="C357" i="1" s="1"/>
  <c r="F356" i="1"/>
  <c r="H238" i="2"/>
  <c r="D238" i="2"/>
  <c r="E238" i="2" s="1"/>
  <c r="F238" i="2" s="1"/>
  <c r="C239" i="2" s="1"/>
  <c r="D239" i="2" l="1"/>
  <c r="H239" i="2"/>
  <c r="F357" i="1"/>
  <c r="D357" i="1"/>
  <c r="C358" i="1" s="1"/>
  <c r="D358" i="1" l="1"/>
  <c r="C359" i="1" s="1"/>
  <c r="F358" i="1"/>
  <c r="E239" i="2"/>
  <c r="F239" i="2" s="1"/>
  <c r="C240" i="2" s="1"/>
  <c r="E240" i="2" l="1"/>
  <c r="F240" i="2" s="1"/>
  <c r="D240" i="2"/>
  <c r="C241" i="2" s="1"/>
  <c r="H240" i="2"/>
  <c r="F359" i="1"/>
  <c r="C360" i="1"/>
  <c r="D359" i="1"/>
  <c r="D241" i="2" l="1"/>
  <c r="H241" i="2"/>
  <c r="D360" i="1"/>
  <c r="C361" i="1" s="1"/>
  <c r="F360" i="1"/>
  <c r="F361" i="1" l="1"/>
  <c r="D361" i="1"/>
  <c r="C362" i="1" s="1"/>
  <c r="E241" i="2"/>
  <c r="F241" i="2" s="1"/>
  <c r="C242" i="2" s="1"/>
  <c r="H242" i="2" l="1"/>
  <c r="D242" i="2"/>
  <c r="D362" i="1"/>
  <c r="C363" i="1" s="1"/>
  <c r="F362" i="1"/>
  <c r="F363" i="1" l="1"/>
  <c r="D363" i="1"/>
  <c r="C364" i="1" s="1"/>
  <c r="E242" i="2"/>
  <c r="F242" i="2" s="1"/>
  <c r="C243" i="2" s="1"/>
  <c r="D243" i="2" l="1"/>
  <c r="H243" i="2"/>
  <c r="D364" i="1"/>
  <c r="C365" i="1" s="1"/>
  <c r="F364" i="1"/>
  <c r="F365" i="1" l="1"/>
  <c r="D365" i="1"/>
  <c r="C366" i="1" s="1"/>
  <c r="E243" i="2"/>
  <c r="F243" i="2" s="1"/>
  <c r="C244" i="2" s="1"/>
  <c r="E244" i="2" l="1"/>
  <c r="F244" i="2" s="1"/>
  <c r="C245" i="2" s="1"/>
  <c r="D244" i="2"/>
  <c r="H244" i="2"/>
  <c r="D366" i="1"/>
  <c r="C367" i="1" s="1"/>
  <c r="F366" i="1"/>
  <c r="D245" i="2" l="1"/>
  <c r="H245" i="2"/>
  <c r="F367" i="1"/>
  <c r="C368" i="1"/>
  <c r="D367" i="1"/>
  <c r="E245" i="2" l="1"/>
  <c r="F245" i="2" s="1"/>
  <c r="C246" i="2" s="1"/>
  <c r="D368" i="1"/>
  <c r="C369" i="1" s="1"/>
  <c r="F368" i="1"/>
  <c r="F369" i="1" l="1"/>
  <c r="D369" i="1"/>
  <c r="C370" i="1" s="1"/>
  <c r="E246" i="2"/>
  <c r="F246" i="2" s="1"/>
  <c r="C247" i="2" s="1"/>
  <c r="H246" i="2"/>
  <c r="D246" i="2"/>
  <c r="D247" i="2" l="1"/>
  <c r="H247" i="2"/>
  <c r="D370" i="1"/>
  <c r="C371" i="1" s="1"/>
  <c r="F370" i="1"/>
  <c r="F371" i="1" l="1"/>
  <c r="C372" i="1"/>
  <c r="D371" i="1"/>
  <c r="E247" i="2"/>
  <c r="F247" i="2" s="1"/>
  <c r="C248" i="2" s="1"/>
  <c r="E248" i="2" l="1"/>
  <c r="F248" i="2" s="1"/>
  <c r="D248" i="2"/>
  <c r="C249" i="2" s="1"/>
  <c r="H248" i="2"/>
  <c r="D372" i="1"/>
  <c r="C373" i="1" s="1"/>
  <c r="F372" i="1"/>
  <c r="F373" i="1" l="1"/>
  <c r="D373" i="1"/>
  <c r="C374" i="1" s="1"/>
  <c r="D249" i="2"/>
  <c r="E249" i="2" s="1"/>
  <c r="F249" i="2" s="1"/>
  <c r="H249" i="2"/>
  <c r="D374" i="1" l="1"/>
  <c r="C375" i="1" s="1"/>
  <c r="F374" i="1"/>
  <c r="C250" i="2"/>
  <c r="F375" i="1" l="1"/>
  <c r="C376" i="1"/>
  <c r="D375" i="1"/>
  <c r="E250" i="2"/>
  <c r="F250" i="2" s="1"/>
  <c r="C251" i="2" s="1"/>
  <c r="H250" i="2"/>
  <c r="D250" i="2"/>
  <c r="D251" i="2" l="1"/>
  <c r="H251" i="2"/>
  <c r="D376" i="1"/>
  <c r="C377" i="1" s="1"/>
  <c r="F376" i="1"/>
  <c r="F377" i="1" l="1"/>
  <c r="D377" i="1"/>
  <c r="C378" i="1"/>
  <c r="E251" i="2"/>
  <c r="F251" i="2" s="1"/>
  <c r="C252" i="2" s="1"/>
  <c r="E252" i="2" l="1"/>
  <c r="F252" i="2" s="1"/>
  <c r="D252" i="2"/>
  <c r="C253" i="2" s="1"/>
  <c r="H252" i="2"/>
  <c r="D378" i="1"/>
  <c r="C379" i="1" s="1"/>
  <c r="F378" i="1"/>
  <c r="F379" i="1" l="1"/>
  <c r="C380" i="1"/>
  <c r="D379" i="1"/>
  <c r="D253" i="2"/>
  <c r="E253" i="2" s="1"/>
  <c r="F253" i="2" s="1"/>
  <c r="H253" i="2"/>
  <c r="C254" i="2" l="1"/>
  <c r="C381" i="1"/>
  <c r="D380" i="1"/>
  <c r="F380" i="1"/>
  <c r="F381" i="1" l="1"/>
  <c r="D381" i="1"/>
  <c r="C382" i="1" s="1"/>
  <c r="E254" i="2"/>
  <c r="F254" i="2" s="1"/>
  <c r="C255" i="2" s="1"/>
  <c r="H254" i="2"/>
  <c r="D254" i="2"/>
  <c r="D382" i="1" l="1"/>
  <c r="C383" i="1" s="1"/>
  <c r="F382" i="1"/>
  <c r="D255" i="2"/>
  <c r="E255" i="2" s="1"/>
  <c r="F255" i="2" s="1"/>
  <c r="H255" i="2"/>
  <c r="F383" i="1" l="1"/>
  <c r="C384" i="1"/>
  <c r="D383" i="1"/>
  <c r="C256" i="2"/>
  <c r="E256" i="2" l="1"/>
  <c r="F256" i="2" s="1"/>
  <c r="C257" i="2" s="1"/>
  <c r="D256" i="2"/>
  <c r="H256" i="2"/>
  <c r="D384" i="1"/>
  <c r="C385" i="1" s="1"/>
  <c r="F384" i="1"/>
  <c r="F385" i="1" l="1"/>
  <c r="D385" i="1"/>
  <c r="C386" i="1" s="1"/>
  <c r="D257" i="2"/>
  <c r="E257" i="2" s="1"/>
  <c r="F257" i="2" s="1"/>
  <c r="H257" i="2"/>
  <c r="D386" i="1" l="1"/>
  <c r="C387" i="1" s="1"/>
  <c r="F386" i="1"/>
  <c r="C258" i="2"/>
  <c r="F387" i="1" l="1"/>
  <c r="D387" i="1"/>
  <c r="C388" i="1" s="1"/>
  <c r="H258" i="2"/>
  <c r="D258" i="2"/>
  <c r="D388" i="1" l="1"/>
  <c r="C389" i="1" s="1"/>
  <c r="F388" i="1"/>
  <c r="E258" i="2"/>
  <c r="F258" i="2" s="1"/>
  <c r="C259" i="2" s="1"/>
  <c r="D259" i="2" l="1"/>
  <c r="H259" i="2"/>
  <c r="F389" i="1"/>
  <c r="D389" i="1"/>
  <c r="C390" i="1"/>
  <c r="E259" i="2" l="1"/>
  <c r="F259" i="2" s="1"/>
  <c r="C260" i="2" s="1"/>
  <c r="D390" i="1"/>
  <c r="C391" i="1" s="1"/>
  <c r="F390" i="1"/>
  <c r="F391" i="1" l="1"/>
  <c r="D391" i="1"/>
  <c r="C392" i="1" s="1"/>
  <c r="D260" i="2"/>
  <c r="H260" i="2"/>
  <c r="D392" i="1" l="1"/>
  <c r="C393" i="1" s="1"/>
  <c r="F392" i="1"/>
  <c r="E260" i="2"/>
  <c r="F260" i="2" s="1"/>
  <c r="C261" i="2" s="1"/>
  <c r="D261" i="2" l="1"/>
  <c r="H261" i="2"/>
  <c r="F393" i="1"/>
  <c r="D393" i="1"/>
  <c r="C394" i="1"/>
  <c r="D394" i="1" l="1"/>
  <c r="C395" i="1" s="1"/>
  <c r="F394" i="1"/>
  <c r="E261" i="2"/>
  <c r="F261" i="2" s="1"/>
  <c r="C262" i="2" s="1"/>
  <c r="H262" i="2" l="1"/>
  <c r="D262" i="2"/>
  <c r="E262" i="2" s="1"/>
  <c r="F262" i="2" s="1"/>
  <c r="F395" i="1"/>
  <c r="D395" i="1"/>
  <c r="C396" i="1" s="1"/>
  <c r="D396" i="1" l="1"/>
  <c r="C397" i="1" s="1"/>
  <c r="F396" i="1"/>
  <c r="C263" i="2"/>
  <c r="F397" i="1" l="1"/>
  <c r="D397" i="1"/>
  <c r="C398" i="1" s="1"/>
  <c r="H263" i="2"/>
  <c r="D263" i="2"/>
  <c r="C264" i="2" s="1"/>
  <c r="E263" i="2"/>
  <c r="F263" i="2" s="1"/>
  <c r="H264" i="2" l="1"/>
  <c r="D264" i="2"/>
  <c r="E264" i="2" s="1"/>
  <c r="F264" i="2" s="1"/>
  <c r="C265" i="2" s="1"/>
  <c r="D398" i="1"/>
  <c r="C399" i="1" s="1"/>
  <c r="F398" i="1"/>
  <c r="F399" i="1" l="1"/>
  <c r="D399" i="1"/>
  <c r="C400" i="1" s="1"/>
  <c r="H265" i="2"/>
  <c r="D265" i="2"/>
  <c r="C266" i="2" s="1"/>
  <c r="E265" i="2"/>
  <c r="F265" i="2" s="1"/>
  <c r="H266" i="2" l="1"/>
  <c r="D266" i="2"/>
  <c r="D400" i="1"/>
  <c r="C401" i="1" s="1"/>
  <c r="F400" i="1"/>
  <c r="F401" i="1" l="1"/>
  <c r="D401" i="1"/>
  <c r="C402" i="1" s="1"/>
  <c r="E266" i="2"/>
  <c r="F266" i="2" s="1"/>
  <c r="C267" i="2" s="1"/>
  <c r="H267" i="2" l="1"/>
  <c r="D267" i="2"/>
  <c r="D402" i="1"/>
  <c r="C403" i="1" s="1"/>
  <c r="F402" i="1"/>
  <c r="F403" i="1" l="1"/>
  <c r="D403" i="1"/>
  <c r="C404" i="1" s="1"/>
  <c r="E267" i="2"/>
  <c r="F267" i="2" s="1"/>
  <c r="C268" i="2" s="1"/>
  <c r="D404" i="1" l="1"/>
  <c r="C405" i="1" s="1"/>
  <c r="F404" i="1"/>
  <c r="H268" i="2"/>
  <c r="D268" i="2"/>
  <c r="E268" i="2" s="1"/>
  <c r="F268" i="2" s="1"/>
  <c r="C269" i="2" s="1"/>
  <c r="H269" i="2" l="1"/>
  <c r="D269" i="2"/>
  <c r="E269" i="2" s="1"/>
  <c r="F269" i="2" s="1"/>
  <c r="F405" i="1"/>
  <c r="D405" i="1"/>
  <c r="C406" i="1" s="1"/>
  <c r="D406" i="1" l="1"/>
  <c r="C407" i="1" s="1"/>
  <c r="F406" i="1"/>
  <c r="C270" i="2"/>
  <c r="F407" i="1" l="1"/>
  <c r="D407" i="1"/>
  <c r="C408" i="1" s="1"/>
  <c r="H270" i="2"/>
  <c r="D270" i="2"/>
  <c r="E270" i="2" s="1"/>
  <c r="F270" i="2" s="1"/>
  <c r="D408" i="1" l="1"/>
  <c r="C409" i="1" s="1"/>
  <c r="F408" i="1"/>
  <c r="C271" i="2"/>
  <c r="F409" i="1" l="1"/>
  <c r="D409" i="1"/>
  <c r="C410" i="1" s="1"/>
  <c r="H271" i="2"/>
  <c r="D271" i="2"/>
  <c r="D410" i="1" l="1"/>
  <c r="C411" i="1" s="1"/>
  <c r="F410" i="1"/>
  <c r="E271" i="2"/>
  <c r="F271" i="2" s="1"/>
  <c r="C272" i="2" s="1"/>
  <c r="H272" i="2" l="1"/>
  <c r="D272" i="2"/>
  <c r="F411" i="1"/>
  <c r="D411" i="1"/>
  <c r="C412" i="1" s="1"/>
  <c r="D412" i="1" l="1"/>
  <c r="F412" i="1"/>
  <c r="C273" i="2"/>
  <c r="E272" i="2"/>
  <c r="F272" i="2" s="1"/>
  <c r="H273" i="2" l="1"/>
  <c r="D273" i="2"/>
  <c r="E273" i="2" l="1"/>
  <c r="F273" i="2" s="1"/>
  <c r="C274" i="2" s="1"/>
  <c r="H274" i="2" l="1"/>
  <c r="D274" i="2"/>
  <c r="E274" i="2" s="1"/>
  <c r="F274" i="2" s="1"/>
  <c r="C275" i="2" s="1"/>
  <c r="H275" i="2" l="1"/>
  <c r="D275" i="2"/>
  <c r="E275" i="2" s="1"/>
  <c r="F275" i="2" s="1"/>
  <c r="C276" i="2" l="1"/>
  <c r="H276" i="2" l="1"/>
  <c r="D276" i="2"/>
  <c r="E276" i="2" s="1"/>
  <c r="F276" i="2" s="1"/>
  <c r="C277" i="2" l="1"/>
  <c r="H277" i="2" l="1"/>
  <c r="D277" i="2"/>
  <c r="E277" i="2" s="1"/>
  <c r="F277" i="2" s="1"/>
  <c r="C278" i="2" l="1"/>
  <c r="H278" i="2" l="1"/>
  <c r="D278" i="2"/>
  <c r="E278" i="2" s="1"/>
  <c r="F278" i="2" s="1"/>
  <c r="C279" i="2" l="1"/>
  <c r="H279" i="2" l="1"/>
  <c r="D279" i="2"/>
  <c r="E279" i="2" s="1"/>
  <c r="F279" i="2" s="1"/>
  <c r="C280" i="2" l="1"/>
  <c r="H280" i="2" l="1"/>
  <c r="D280" i="2"/>
  <c r="E280" i="2" s="1"/>
  <c r="F280" i="2" s="1"/>
  <c r="C281" i="2" l="1"/>
  <c r="H281" i="2" l="1"/>
  <c r="D281" i="2"/>
  <c r="E281" i="2" s="1"/>
  <c r="F281" i="2" s="1"/>
  <c r="C282" i="2" l="1"/>
  <c r="H282" i="2" l="1"/>
  <c r="D282" i="2"/>
  <c r="E282" i="2" s="1"/>
  <c r="F282" i="2" s="1"/>
  <c r="C283" i="2" l="1"/>
  <c r="H283" i="2" l="1"/>
  <c r="D283" i="2"/>
  <c r="E283" i="2" s="1"/>
  <c r="F283" i="2" s="1"/>
  <c r="C284" i="2" l="1"/>
  <c r="H284" i="2" l="1"/>
  <c r="D284" i="2"/>
  <c r="E284" i="2" l="1"/>
  <c r="F284" i="2" s="1"/>
  <c r="C285" i="2" s="1"/>
  <c r="H285" i="2" l="1"/>
  <c r="D285" i="2"/>
  <c r="E285" i="2" s="1"/>
  <c r="F285" i="2" s="1"/>
  <c r="C286" i="2" l="1"/>
  <c r="H286" i="2" l="1"/>
  <c r="D286" i="2"/>
  <c r="E286" i="2" l="1"/>
  <c r="F286" i="2" s="1"/>
  <c r="C287" i="2" s="1"/>
  <c r="H287" i="2" l="1"/>
  <c r="D287" i="2"/>
  <c r="E287" i="2" s="1"/>
  <c r="F287" i="2" s="1"/>
  <c r="C288" i="2" l="1"/>
  <c r="H288" i="2" l="1"/>
  <c r="D288" i="2"/>
  <c r="E288" i="2" s="1"/>
  <c r="F288" i="2" s="1"/>
  <c r="C289" i="2" l="1"/>
  <c r="H289" i="2" l="1"/>
  <c r="D289" i="2"/>
  <c r="E289" i="2" s="1"/>
  <c r="F289" i="2" s="1"/>
  <c r="C290" i="2" l="1"/>
  <c r="H290" i="2" l="1"/>
  <c r="D290" i="2"/>
  <c r="E290" i="2" s="1"/>
  <c r="F290" i="2" s="1"/>
  <c r="C291" i="2" l="1"/>
  <c r="H291" i="2" l="1"/>
  <c r="D291" i="2"/>
  <c r="E291" i="2" s="1"/>
  <c r="F291" i="2" s="1"/>
  <c r="C292" i="2" s="1"/>
  <c r="H292" i="2" l="1"/>
  <c r="D292" i="2"/>
  <c r="E292" i="2" s="1"/>
  <c r="F292" i="2" s="1"/>
  <c r="C293" i="2" l="1"/>
  <c r="H293" i="2" l="1"/>
  <c r="D293" i="2"/>
  <c r="E293" i="2" s="1"/>
  <c r="F293" i="2" s="1"/>
  <c r="C294" i="2" l="1"/>
  <c r="H294" i="2" l="1"/>
  <c r="D294" i="2"/>
  <c r="E294" i="2" s="1"/>
  <c r="F294" i="2" s="1"/>
  <c r="C295" i="2" l="1"/>
  <c r="H295" i="2" l="1"/>
  <c r="D295" i="2"/>
  <c r="E295" i="2" l="1"/>
  <c r="F295" i="2" s="1"/>
  <c r="C296" i="2" s="1"/>
  <c r="H296" i="2" l="1"/>
  <c r="D296" i="2"/>
  <c r="E296" i="2" s="1"/>
  <c r="F296" i="2" s="1"/>
  <c r="C297" i="2" l="1"/>
  <c r="H297" i="2" l="1"/>
  <c r="D297" i="2"/>
  <c r="E297" i="2" l="1"/>
  <c r="F297" i="2" s="1"/>
  <c r="C298" i="2" s="1"/>
  <c r="H298" i="2" l="1"/>
  <c r="D298" i="2"/>
  <c r="E298" i="2" l="1"/>
  <c r="F298" i="2" s="1"/>
  <c r="C299" i="2" s="1"/>
  <c r="H299" i="2" l="1"/>
  <c r="D299" i="2"/>
  <c r="C300" i="2" l="1"/>
  <c r="E299" i="2"/>
  <c r="F299" i="2" s="1"/>
  <c r="H300" i="2" l="1"/>
  <c r="D300" i="2"/>
  <c r="E300" i="2" l="1"/>
  <c r="F300" i="2" s="1"/>
  <c r="C301" i="2" s="1"/>
  <c r="H301" i="2" l="1"/>
  <c r="D301" i="2"/>
  <c r="E301" i="2" l="1"/>
  <c r="F301" i="2" s="1"/>
  <c r="C302" i="2" s="1"/>
  <c r="H302" i="2" l="1"/>
  <c r="D302" i="2"/>
  <c r="E302" i="2" l="1"/>
  <c r="F302" i="2" s="1"/>
  <c r="C303" i="2" s="1"/>
  <c r="H303" i="2" l="1"/>
  <c r="D303" i="2"/>
  <c r="E303" i="2" s="1"/>
  <c r="F303" i="2" s="1"/>
  <c r="C304" i="2" l="1"/>
  <c r="H304" i="2" l="1"/>
  <c r="D304" i="2"/>
  <c r="E304" i="2" s="1"/>
  <c r="F304" i="2" s="1"/>
  <c r="C305" i="2" l="1"/>
  <c r="H305" i="2" l="1"/>
  <c r="D305" i="2"/>
  <c r="E305" i="2" l="1"/>
  <c r="F305" i="2" s="1"/>
  <c r="C306" i="2" s="1"/>
  <c r="H306" i="2" l="1"/>
  <c r="D306" i="2"/>
  <c r="E306" i="2" l="1"/>
  <c r="F306" i="2" s="1"/>
  <c r="C307" i="2" s="1"/>
  <c r="H307" i="2" l="1"/>
  <c r="D307" i="2"/>
  <c r="E307" i="2" l="1"/>
  <c r="F307" i="2" s="1"/>
  <c r="C308" i="2" s="1"/>
  <c r="H308" i="2" l="1"/>
  <c r="D308" i="2"/>
  <c r="E308" i="2" l="1"/>
  <c r="F308" i="2" s="1"/>
  <c r="C309" i="2" s="1"/>
  <c r="H309" i="2" l="1"/>
  <c r="D309" i="2"/>
  <c r="E309" i="2" s="1"/>
  <c r="F309" i="2" s="1"/>
  <c r="C310" i="2" l="1"/>
  <c r="H310" i="2" l="1"/>
  <c r="D310" i="2"/>
  <c r="E310" i="2" s="1"/>
  <c r="F310" i="2" s="1"/>
  <c r="C311" i="2" l="1"/>
  <c r="H311" i="2" l="1"/>
  <c r="D311" i="2"/>
  <c r="E311" i="2" s="1"/>
  <c r="F311" i="2" s="1"/>
  <c r="C312" i="2" l="1"/>
  <c r="H312" i="2" l="1"/>
  <c r="D312" i="2"/>
  <c r="E312" i="2" s="1"/>
  <c r="F312" i="2" s="1"/>
  <c r="C313" i="2" l="1"/>
  <c r="H313" i="2" l="1"/>
  <c r="D313" i="2"/>
  <c r="E313" i="2" l="1"/>
  <c r="F313" i="2" s="1"/>
  <c r="C314" i="2" s="1"/>
  <c r="H314" i="2" l="1"/>
  <c r="D314" i="2"/>
  <c r="E314" i="2" s="1"/>
  <c r="F314" i="2" s="1"/>
  <c r="C315" i="2" l="1"/>
  <c r="H315" i="2" l="1"/>
  <c r="D315" i="2"/>
  <c r="E315" i="2" s="1"/>
  <c r="F315" i="2" s="1"/>
  <c r="C316" i="2" l="1"/>
  <c r="H316" i="2" l="1"/>
  <c r="D316" i="2"/>
  <c r="E316" i="2" s="1"/>
  <c r="F316" i="2" s="1"/>
  <c r="C317" i="2" l="1"/>
  <c r="H317" i="2" l="1"/>
  <c r="D317" i="2"/>
  <c r="E317" i="2" s="1"/>
  <c r="F317" i="2" s="1"/>
  <c r="C318" i="2" l="1"/>
  <c r="H318" i="2" l="1"/>
  <c r="D318" i="2"/>
  <c r="E318" i="2" l="1"/>
  <c r="F318" i="2" s="1"/>
  <c r="C319" i="2" s="1"/>
  <c r="H319" i="2" l="1"/>
  <c r="D319" i="2"/>
  <c r="E319" i="2" l="1"/>
  <c r="F319" i="2" s="1"/>
  <c r="C320" i="2" s="1"/>
  <c r="H320" i="2" l="1"/>
  <c r="D320" i="2"/>
  <c r="E320" i="2" s="1"/>
  <c r="F320" i="2" s="1"/>
  <c r="C321" i="2" l="1"/>
  <c r="H321" i="2" l="1"/>
  <c r="D321" i="2"/>
  <c r="E321" i="2" s="1"/>
  <c r="F321" i="2" s="1"/>
  <c r="C322" i="2" l="1"/>
  <c r="H322" i="2" l="1"/>
  <c r="D322" i="2"/>
  <c r="E322" i="2" l="1"/>
  <c r="F322" i="2" s="1"/>
  <c r="C323" i="2" s="1"/>
  <c r="H323" i="2" l="1"/>
  <c r="D323" i="2"/>
  <c r="E323" i="2" l="1"/>
  <c r="F323" i="2" s="1"/>
  <c r="C324" i="2" s="1"/>
  <c r="H324" i="2" l="1"/>
  <c r="D324" i="2"/>
  <c r="E324" i="2" l="1"/>
  <c r="F324" i="2" s="1"/>
  <c r="C325" i="2" s="1"/>
  <c r="H325" i="2" l="1"/>
  <c r="D325" i="2"/>
  <c r="E325" i="2" s="1"/>
  <c r="F325" i="2" s="1"/>
  <c r="C326" i="2" l="1"/>
  <c r="H326" i="2" l="1"/>
  <c r="D326" i="2"/>
  <c r="E326" i="2" s="1"/>
  <c r="F326" i="2" s="1"/>
  <c r="C327" i="2" l="1"/>
  <c r="H327" i="2" l="1"/>
  <c r="D327" i="2"/>
  <c r="E327" i="2" s="1"/>
  <c r="F327" i="2" s="1"/>
  <c r="C328" i="2" l="1"/>
  <c r="H328" i="2" l="1"/>
  <c r="D328" i="2"/>
  <c r="E328" i="2" l="1"/>
  <c r="F328" i="2" s="1"/>
  <c r="C329" i="2" s="1"/>
  <c r="H329" i="2" l="1"/>
  <c r="D329" i="2"/>
  <c r="E329" i="2" s="1"/>
  <c r="F329" i="2" s="1"/>
  <c r="C330" i="2" l="1"/>
  <c r="H330" i="2" l="1"/>
  <c r="D330" i="2"/>
  <c r="E330" i="2" s="1"/>
  <c r="F330" i="2" s="1"/>
  <c r="C331" i="2" l="1"/>
  <c r="H331" i="2" l="1"/>
  <c r="D331" i="2"/>
  <c r="E331" i="2" l="1"/>
  <c r="F331" i="2" s="1"/>
  <c r="C332" i="2" s="1"/>
  <c r="H332" i="2" l="1"/>
  <c r="D332" i="2"/>
  <c r="E332" i="2" s="1"/>
  <c r="F332" i="2" s="1"/>
  <c r="C333" i="2" l="1"/>
  <c r="H333" i="2" l="1"/>
  <c r="D333" i="2"/>
  <c r="E333" i="2" l="1"/>
  <c r="F333" i="2" s="1"/>
  <c r="C334" i="2" s="1"/>
  <c r="H334" i="2" l="1"/>
  <c r="D334" i="2"/>
  <c r="E334" i="2" s="1"/>
  <c r="F334" i="2" s="1"/>
  <c r="C335" i="2" l="1"/>
  <c r="H335" i="2" l="1"/>
  <c r="D335" i="2"/>
  <c r="E335" i="2" l="1"/>
  <c r="F335" i="2" s="1"/>
  <c r="C336" i="2" s="1"/>
  <c r="H336" i="2" l="1"/>
  <c r="D336" i="2"/>
  <c r="E336" i="2" s="1"/>
  <c r="F336" i="2" s="1"/>
  <c r="C337" i="2" l="1"/>
  <c r="H337" i="2" l="1"/>
  <c r="D337" i="2"/>
  <c r="E337" i="2" s="1"/>
  <c r="F337" i="2" s="1"/>
  <c r="C338" i="2" l="1"/>
  <c r="H338" i="2" l="1"/>
  <c r="D338" i="2"/>
  <c r="E338" i="2" l="1"/>
  <c r="F338" i="2" s="1"/>
  <c r="C339" i="2" s="1"/>
  <c r="H339" i="2" l="1"/>
  <c r="D339" i="2"/>
  <c r="E339" i="2" l="1"/>
  <c r="F339" i="2" s="1"/>
  <c r="C340" i="2" s="1"/>
  <c r="H340" i="2" l="1"/>
  <c r="D340" i="2"/>
  <c r="C341" i="2" l="1"/>
  <c r="E340" i="2"/>
  <c r="F340" i="2" s="1"/>
  <c r="H341" i="2" l="1"/>
  <c r="D341" i="2"/>
  <c r="E341" i="2" l="1"/>
  <c r="F341" i="2" s="1"/>
  <c r="C342" i="2" s="1"/>
  <c r="H342" i="2" l="1"/>
  <c r="D342" i="2"/>
  <c r="E342" i="2" l="1"/>
  <c r="F342" i="2" s="1"/>
  <c r="C343" i="2" s="1"/>
  <c r="H343" i="2" l="1"/>
  <c r="D343" i="2"/>
  <c r="E343" i="2" l="1"/>
  <c r="F343" i="2" s="1"/>
  <c r="C344" i="2" s="1"/>
  <c r="H344" i="2" l="1"/>
  <c r="D344" i="2"/>
  <c r="E344" i="2" l="1"/>
  <c r="F344" i="2" s="1"/>
  <c r="C345" i="2" s="1"/>
  <c r="H345" i="2" l="1"/>
  <c r="D345" i="2"/>
  <c r="E345" i="2" l="1"/>
  <c r="F345" i="2" s="1"/>
  <c r="C346" i="2" s="1"/>
  <c r="H346" i="2" l="1"/>
  <c r="D346" i="2"/>
  <c r="E346" i="2" l="1"/>
  <c r="F346" i="2" s="1"/>
  <c r="C347" i="2" s="1"/>
  <c r="H347" i="2" l="1"/>
  <c r="D347" i="2"/>
  <c r="E347" i="2" l="1"/>
  <c r="F347" i="2" s="1"/>
  <c r="C348" i="2" s="1"/>
  <c r="H348" i="2" l="1"/>
  <c r="D348" i="2"/>
  <c r="E348" i="2" l="1"/>
  <c r="F348" i="2" s="1"/>
  <c r="C349" i="2" s="1"/>
  <c r="H349" i="2" l="1"/>
  <c r="D349" i="2"/>
  <c r="E349" i="2" l="1"/>
  <c r="F349" i="2" s="1"/>
  <c r="C350" i="2" s="1"/>
  <c r="H350" i="2" l="1"/>
  <c r="D350" i="2"/>
  <c r="E350" i="2" l="1"/>
  <c r="F350" i="2" s="1"/>
  <c r="C351" i="2" s="1"/>
  <c r="H351" i="2" l="1"/>
  <c r="D351" i="2"/>
  <c r="E351" i="2" l="1"/>
  <c r="F351" i="2" s="1"/>
  <c r="C352" i="2" s="1"/>
  <c r="H352" i="2" l="1"/>
  <c r="D352" i="2"/>
  <c r="E352" i="2" l="1"/>
  <c r="F352" i="2" s="1"/>
  <c r="C353" i="2" s="1"/>
  <c r="H353" i="2" l="1"/>
  <c r="D353" i="2"/>
  <c r="E353" i="2" l="1"/>
  <c r="F353" i="2" s="1"/>
  <c r="C354" i="2" s="1"/>
  <c r="H354" i="2" l="1"/>
  <c r="D354" i="2"/>
  <c r="E354" i="2" l="1"/>
  <c r="F354" i="2" s="1"/>
  <c r="C355" i="2" s="1"/>
  <c r="H355" i="2" l="1"/>
  <c r="D355" i="2"/>
  <c r="E355" i="2" l="1"/>
  <c r="F355" i="2" s="1"/>
  <c r="C356" i="2" s="1"/>
  <c r="H356" i="2" l="1"/>
  <c r="D356" i="2"/>
  <c r="E356" i="2" l="1"/>
  <c r="F356" i="2" s="1"/>
  <c r="C357" i="2" s="1"/>
  <c r="H357" i="2" l="1"/>
  <c r="D357" i="2"/>
  <c r="E357" i="2" l="1"/>
  <c r="F357" i="2" s="1"/>
  <c r="C358" i="2" s="1"/>
  <c r="H358" i="2" l="1"/>
  <c r="D358" i="2"/>
  <c r="E358" i="2" l="1"/>
  <c r="F358" i="2" s="1"/>
  <c r="C359" i="2" s="1"/>
  <c r="H359" i="2" l="1"/>
  <c r="D359" i="2"/>
  <c r="E359" i="2" l="1"/>
  <c r="F359" i="2" s="1"/>
  <c r="C360" i="2" s="1"/>
  <c r="H360" i="2" l="1"/>
  <c r="D360" i="2"/>
  <c r="C361" i="2" l="1"/>
  <c r="E360" i="2"/>
  <c r="F360" i="2" s="1"/>
  <c r="H361" i="2" l="1"/>
  <c r="D361" i="2"/>
  <c r="E361" i="2"/>
  <c r="F361" i="2" s="1"/>
  <c r="C362" i="2" s="1"/>
  <c r="H362" i="2" l="1"/>
  <c r="D362" i="2"/>
  <c r="E362" i="2"/>
  <c r="F362" i="2" s="1"/>
  <c r="C363" i="2" s="1"/>
  <c r="H363" i="2" l="1"/>
  <c r="D363" i="2"/>
  <c r="E363" i="2"/>
  <c r="F363" i="2" s="1"/>
  <c r="C364" i="2" s="1"/>
  <c r="H364" i="2" l="1"/>
  <c r="D364" i="2"/>
  <c r="E364" i="2"/>
  <c r="F364" i="2" s="1"/>
  <c r="C365" i="2" s="1"/>
  <c r="H365" i="2" l="1"/>
  <c r="D365" i="2"/>
  <c r="E365" i="2"/>
  <c r="F365" i="2" s="1"/>
  <c r="C366" i="2" s="1"/>
  <c r="H366" i="2" l="1"/>
  <c r="D366" i="2"/>
  <c r="E366" i="2"/>
  <c r="F366" i="2" s="1"/>
  <c r="C367" i="2" s="1"/>
  <c r="H367" i="2" l="1"/>
  <c r="D367" i="2"/>
  <c r="E367" i="2" l="1"/>
  <c r="F367" i="2" s="1"/>
  <c r="C368" i="2" s="1"/>
  <c r="H368" i="2" l="1"/>
  <c r="D368" i="2"/>
  <c r="E368" i="2" l="1"/>
  <c r="F368" i="2" s="1"/>
  <c r="C369" i="2" s="1"/>
  <c r="H369" i="2" l="1"/>
  <c r="D369" i="2"/>
  <c r="E369" i="2"/>
  <c r="F369" i="2" s="1"/>
  <c r="C370" i="2" s="1"/>
  <c r="H370" i="2" l="1"/>
  <c r="D370" i="2"/>
  <c r="E370" i="2"/>
  <c r="F370" i="2" s="1"/>
  <c r="C371" i="2" s="1"/>
  <c r="H371" i="2" l="1"/>
  <c r="D371" i="2"/>
  <c r="E371" i="2"/>
  <c r="F371" i="2" s="1"/>
  <c r="C372" i="2" s="1"/>
  <c r="H372" i="2" l="1"/>
  <c r="D372" i="2"/>
  <c r="E372" i="2"/>
  <c r="F372" i="2" s="1"/>
  <c r="C373" i="2" s="1"/>
  <c r="H373" i="2" l="1"/>
  <c r="D373" i="2"/>
  <c r="E373" i="2"/>
  <c r="F373" i="2" s="1"/>
  <c r="C374" i="2" s="1"/>
  <c r="H374" i="2" l="1"/>
  <c r="D374" i="2"/>
  <c r="E374" i="2"/>
  <c r="F374" i="2" s="1"/>
  <c r="C375" i="2" s="1"/>
  <c r="H375" i="2" l="1"/>
  <c r="D375" i="2"/>
  <c r="E375" i="2"/>
  <c r="F375" i="2" s="1"/>
  <c r="C376" i="2" s="1"/>
  <c r="H376" i="2" l="1"/>
  <c r="D376" i="2"/>
  <c r="E376" i="2"/>
  <c r="F376" i="2" s="1"/>
  <c r="C377" i="2" s="1"/>
  <c r="H377" i="2" l="1"/>
  <c r="D377" i="2"/>
  <c r="E377" i="2"/>
  <c r="F377" i="2" s="1"/>
  <c r="C378" i="2" s="1"/>
  <c r="H378" i="2" l="1"/>
  <c r="D378" i="2"/>
  <c r="E378" i="2" l="1"/>
  <c r="F378" i="2" s="1"/>
  <c r="C379" i="2" s="1"/>
  <c r="H379" i="2" l="1"/>
  <c r="D379" i="2"/>
  <c r="E379" i="2" l="1"/>
  <c r="F379" i="2" s="1"/>
  <c r="C380" i="2" s="1"/>
  <c r="H380" i="2" l="1"/>
  <c r="D380" i="2"/>
  <c r="E380" i="2" l="1"/>
  <c r="F380" i="2" s="1"/>
  <c r="C381" i="2" s="1"/>
  <c r="D381" i="2" l="1"/>
  <c r="H381" i="2"/>
  <c r="E381" i="2" l="1"/>
  <c r="F381" i="2" s="1"/>
  <c r="C382" i="2" s="1"/>
  <c r="H382" i="2" l="1"/>
  <c r="E382" i="2"/>
  <c r="F382" i="2" s="1"/>
  <c r="C383" i="2" s="1"/>
  <c r="D382" i="2"/>
  <c r="D383" i="2" l="1"/>
  <c r="H383" i="2"/>
  <c r="E383" i="2" l="1"/>
  <c r="F383" i="2" s="1"/>
  <c r="C384" i="2" s="1"/>
  <c r="H384" i="2" l="1"/>
  <c r="D384" i="2"/>
  <c r="E384" i="2" s="1"/>
  <c r="F384" i="2" s="1"/>
  <c r="C385" i="2" s="1"/>
  <c r="E385" i="2" l="1"/>
  <c r="F385" i="2" s="1"/>
  <c r="D385" i="2"/>
  <c r="C386" i="2" s="1"/>
  <c r="H385" i="2"/>
  <c r="H386" i="2" l="1"/>
  <c r="E386" i="2"/>
  <c r="F386" i="2" s="1"/>
  <c r="C387" i="2" s="1"/>
  <c r="D386" i="2"/>
  <c r="D387" i="2" l="1"/>
  <c r="H387" i="2"/>
  <c r="E387" i="2" l="1"/>
  <c r="F387" i="2" s="1"/>
  <c r="C388" i="2" s="1"/>
  <c r="H388" i="2" l="1"/>
  <c r="D388" i="2"/>
  <c r="E388" i="2"/>
  <c r="F388" i="2" s="1"/>
  <c r="C389" i="2" s="1"/>
  <c r="D389" i="2" l="1"/>
  <c r="H389" i="2"/>
  <c r="E389" i="2" l="1"/>
  <c r="F389" i="2" s="1"/>
  <c r="C390" i="2" s="1"/>
  <c r="H390" i="2" l="1"/>
  <c r="E390" i="2"/>
  <c r="F390" i="2" s="1"/>
  <c r="D390" i="2"/>
  <c r="C391" i="2" s="1"/>
  <c r="D391" i="2" l="1"/>
  <c r="H391" i="2"/>
  <c r="E391" i="2" l="1"/>
  <c r="F391" i="2" s="1"/>
  <c r="C392" i="2" s="1"/>
  <c r="H392" i="2" l="1"/>
  <c r="D392" i="2"/>
  <c r="E392" i="2"/>
  <c r="F392" i="2" s="1"/>
  <c r="C393" i="2" s="1"/>
  <c r="D393" i="2" l="1"/>
  <c r="H393" i="2"/>
  <c r="E393" i="2" l="1"/>
  <c r="F393" i="2" s="1"/>
  <c r="C394" i="2" s="1"/>
  <c r="H394" i="2" l="1"/>
  <c r="E394" i="2"/>
  <c r="F394" i="2" s="1"/>
  <c r="D394" i="2"/>
  <c r="C395" i="2" s="1"/>
  <c r="D395" i="2" l="1"/>
  <c r="E395" i="2" s="1"/>
  <c r="F395" i="2" s="1"/>
  <c r="C396" i="2" s="1"/>
  <c r="H395" i="2"/>
  <c r="H396" i="2" l="1"/>
  <c r="D396" i="2"/>
  <c r="E396" i="2" s="1"/>
  <c r="F396" i="2" s="1"/>
  <c r="C397" i="2" s="1"/>
  <c r="D397" i="2" l="1"/>
  <c r="H397" i="2"/>
  <c r="E397" i="2" l="1"/>
  <c r="F397" i="2" s="1"/>
  <c r="C398" i="2" s="1"/>
  <c r="H398" i="2" l="1"/>
  <c r="E398" i="2"/>
  <c r="F398" i="2" s="1"/>
  <c r="C399" i="2" s="1"/>
  <c r="D398" i="2"/>
  <c r="D399" i="2" l="1"/>
  <c r="H399" i="2"/>
  <c r="E399" i="2" l="1"/>
  <c r="F399" i="2" s="1"/>
  <c r="C400" i="2" s="1"/>
  <c r="H400" i="2" l="1"/>
  <c r="D400" i="2"/>
  <c r="E400" i="2" s="1"/>
  <c r="F400" i="2" s="1"/>
  <c r="C401" i="2" s="1"/>
  <c r="E401" i="2" l="1"/>
  <c r="F401" i="2" s="1"/>
  <c r="C402" i="2" s="1"/>
  <c r="D401" i="2"/>
  <c r="H401" i="2"/>
  <c r="H402" i="2" l="1"/>
  <c r="E402" i="2"/>
  <c r="F402" i="2" s="1"/>
  <c r="C403" i="2" s="1"/>
  <c r="D402" i="2"/>
  <c r="H403" i="2" l="1"/>
  <c r="D403" i="2"/>
  <c r="E403" i="2" l="1"/>
  <c r="F403" i="2" s="1"/>
  <c r="C404" i="2" s="1"/>
  <c r="H404" i="2" l="1"/>
  <c r="D404" i="2"/>
  <c r="E404" i="2" s="1"/>
  <c r="F404" i="2" s="1"/>
  <c r="C405" i="2" l="1"/>
  <c r="H405" i="2" l="1"/>
  <c r="D405" i="2"/>
  <c r="E405" i="2" l="1"/>
  <c r="F405" i="2" s="1"/>
  <c r="C406" i="2" s="1"/>
  <c r="H406" i="2" l="1"/>
  <c r="D406" i="2"/>
  <c r="E406" i="2"/>
  <c r="F406" i="2" s="1"/>
  <c r="C407" i="2"/>
  <c r="H407" i="2" l="1"/>
  <c r="D407" i="2"/>
  <c r="E407" i="2" s="1"/>
  <c r="F407" i="2" s="1"/>
  <c r="C408" i="2" l="1"/>
  <c r="H408" i="2" l="1"/>
  <c r="D408" i="2"/>
  <c r="E408" i="2" s="1"/>
  <c r="F408" i="2" s="1"/>
  <c r="C409" i="2" l="1"/>
  <c r="H409" i="2" l="1"/>
  <c r="D409" i="2"/>
  <c r="E409" i="2" s="1"/>
  <c r="F409" i="2" s="1"/>
  <c r="C410" i="2" l="1"/>
  <c r="H410" i="2" l="1"/>
  <c r="D410" i="2"/>
  <c r="E410" i="2" l="1"/>
  <c r="F410" i="2" s="1"/>
  <c r="C411" i="2" s="1"/>
  <c r="H411" i="2" l="1"/>
  <c r="D411" i="2"/>
  <c r="E411" i="2" s="1"/>
  <c r="F411" i="2" s="1"/>
  <c r="C412" i="2" s="1"/>
  <c r="H412" i="2" l="1"/>
  <c r="D412" i="2"/>
  <c r="E412" i="2" s="1"/>
  <c r="F412" i="2" s="1"/>
</calcChain>
</file>

<file path=xl/sharedStrings.xml><?xml version="1.0" encoding="utf-8"?>
<sst xmlns="http://schemas.openxmlformats.org/spreadsheetml/2006/main" count="60" uniqueCount="33">
  <si>
    <t>Crecimiento de un Organismo - Método de Euler</t>
  </si>
  <si>
    <t>k (kg^(1/4)/día)</t>
  </si>
  <si>
    <t>m_max (kg)</t>
  </si>
  <si>
    <t>m(0) (kg)</t>
  </si>
  <si>
    <t>Paso h (días)</t>
  </si>
  <si>
    <t>t_final (días)</t>
  </si>
  <si>
    <t>M = m_max^(1/4)</t>
  </si>
  <si>
    <t>y0 = m(0)^(1/4)</t>
  </si>
  <si>
    <t>n</t>
  </si>
  <si>
    <t>t_n (días)</t>
  </si>
  <si>
    <t>m_n (Euler) [kg]</t>
  </si>
  <si>
    <t>f(t_n,m_n)</t>
  </si>
  <si>
    <t>m_exact(t_n) [kg]</t>
  </si>
  <si>
    <t>|Error|</t>
  </si>
  <si>
    <t>Crecimiento de un Organismo - Método de Heun</t>
  </si>
  <si>
    <t>m_n (Heun) [kg]</t>
  </si>
  <si>
    <t>k1 = f(t_n,m_n)</t>
  </si>
  <si>
    <t>m_pred = m_n + h*k1</t>
  </si>
  <si>
    <t>k2 = f(t_{n+1}, m_pred)</t>
  </si>
  <si>
    <t>Crecimiento de un Pez (von Bertalanffy) - Euler</t>
  </si>
  <si>
    <t>a (lb^(1/3)/día)</t>
  </si>
  <si>
    <t>b (día^-1)</t>
  </si>
  <si>
    <t>w(0) (lb)</t>
  </si>
  <si>
    <t>α = a/b</t>
  </si>
  <si>
    <t>y0 = w(0)^(1/3)</t>
  </si>
  <si>
    <t>w_n (Euler) [lb]</t>
  </si>
  <si>
    <t>f(t_n,w_n)</t>
  </si>
  <si>
    <t>w_exact(t_n) [lb]</t>
  </si>
  <si>
    <t>Crecimiento de un Pez (von Bertalanffy) - Heun</t>
  </si>
  <si>
    <t>w_n (Heun) [lb]</t>
  </si>
  <si>
    <t>k1 = f(t_n,w_n)</t>
  </si>
  <si>
    <t>w_pred = w_n + h*k1</t>
  </si>
  <si>
    <t>k2 = f(t_{n+1}, w_pred)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</si>
</sst>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11827"/>
        <bgColor rgb="FF111827"/>
      </patternFill>
    </fill>
    <fill>
      <patternFill patternType="solid">
        <fgColor rgb="FF1D4ED8"/>
        <bgColor rgb="FF1D4ED8"/>
      </patternFill>
    </fill>
    <fill>
      <patternFill patternType="solid">
        <fgColor rgb="FF0EA5E9"/>
        <bgColor rgb="FF0EA5E9"/>
      </patternFill>
    </fill>
    <fill>
      <patternFill patternType="solid">
        <fgColor rgb="FF7C3AED"/>
        <bgColor rgb="FF7C3AED"/>
      </patternFill>
    </fill>
    <fill>
      <patternFill patternType="solid">
        <fgColor rgb="FFF97316"/>
        <bgColor rgb="FFF97316"/>
      </patternFill>
    </fill>
  </fills>
  <borders count="2">
    <border>
      <left/>
      <right/>
      <top/>
      <bottom/>
      <diagonal/>
    </border>
    <border>
      <left style="thin">
        <color rgb="FF4B5563"/>
      </left>
      <right style="thin">
        <color rgb="FF4B5563"/>
      </right>
      <top style="thin">
        <color rgb="FF4B5563"/>
      </top>
      <bottom style="thin">
        <color rgb="FF4B556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BO"/>
              <a:t>Crecimiento del organismo - Euler vs Exacto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Euler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Organismo_Euler!$B$12:$B$413</c:f>
              <c:numCache>
                <c:formatCode>General</c:formatCode>
                <c:ptCount val="4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xVal>
          <c:yVal>
            <c:numRef>
              <c:f>Organismo_Euler!$C$12:$C$413</c:f>
              <c:numCache>
                <c:formatCode>General</c:formatCode>
                <c:ptCount val="402"/>
                <c:pt idx="0">
                  <c:v>1</c:v>
                </c:pt>
                <c:pt idx="1">
                  <c:v>1.2279156575759573</c:v>
                </c:pt>
                <c:pt idx="2">
                  <c:v>1.4893454444646097</c:v>
                </c:pt>
                <c:pt idx="3">
                  <c:v>1.7864397475690861</c:v>
                </c:pt>
                <c:pt idx="4">
                  <c:v>2.121232436876054</c:v>
                </c:pt>
                <c:pt idx="5">
                  <c:v>2.4956304714099251</c:v>
                </c:pt>
                <c:pt idx="6">
                  <c:v>2.9114055999846054</c:v>
                </c:pt>
                <c:pt idx="7">
                  <c:v>3.3701879804245229</c:v>
                </c:pt>
                <c:pt idx="8">
                  <c:v>3.8734615430984625</c:v>
                </c:pt>
                <c:pt idx="9">
                  <c:v>4.4225609295877177</c:v>
                </c:pt>
                <c:pt idx="10">
                  <c:v>5.0186698442186541</c:v>
                </c:pt>
                <c:pt idx="11">
                  <c:v>5.6628206643740633</c:v>
                </c:pt>
                <c:pt idx="12">
                  <c:v>6.3558951644677339</c:v>
                </c:pt>
                <c:pt idx="13">
                  <c:v>7.098626217856852</c:v>
                </c:pt>
                <c:pt idx="14">
                  <c:v>7.8916003505055503</c:v>
                </c:pt>
                <c:pt idx="15">
                  <c:v>8.7352610296999558</c:v>
                </c:pt>
                <c:pt idx="16">
                  <c:v>9.62991258040487</c:v>
                </c:pt>
                <c:pt idx="17">
                  <c:v>10.575724630840613</c:v>
                </c:pt>
                <c:pt idx="18">
                  <c:v>11.572736997473628</c:v>
                </c:pt>
                <c:pt idx="19">
                  <c:v>12.620864927808265</c:v>
                </c:pt>
                <c:pt idx="20">
                  <c:v>13.719904627110825</c:v>
                </c:pt>
                <c:pt idx="21">
                  <c:v>14.869539002475431</c:v>
                </c:pt>
                <c:pt idx="22">
                  <c:v>16.069343564450453</c:v>
                </c:pt>
                <c:pt idx="23">
                  <c:v>17.318792432787983</c:v>
                </c:pt>
                <c:pt idx="24">
                  <c:v>18.617264398767013</c:v>
                </c:pt>
                <c:pt idx="25">
                  <c:v>19.964049001987647</c:v>
                </c:pt>
                <c:pt idx="26">
                  <c:v>21.358352584556279</c:v>
                </c:pt>
                <c:pt idx="27">
                  <c:v>22.799304290199245</c:v>
                </c:pt>
                <c:pt idx="28">
                  <c:v>24.285961980075733</c:v>
                </c:pt>
                <c:pt idx="29">
                  <c:v>25.817318040931127</c:v>
                </c:pt>
                <c:pt idx="30">
                  <c:v>27.392305064760624</c:v>
                </c:pt>
                <c:pt idx="31">
                  <c:v>29.0098013823618</c:v>
                </c:pt>
                <c:pt idx="32">
                  <c:v>30.668636436064517</c:v>
                </c:pt>
                <c:pt idx="33">
                  <c:v>32.367595979557748</c:v>
                </c:pt>
                <c:pt idx="34">
                  <c:v>34.105427095105448</c:v>
                </c:pt>
                <c:pt idx="35">
                  <c:v>35.880843020576229</c:v>
                </c:pt>
                <c:pt idx="36">
                  <c:v>37.692527780622775</c:v>
                </c:pt>
                <c:pt idx="37">
                  <c:v>39.539140618053281</c:v>
                </c:pt>
                <c:pt idx="38">
                  <c:v>41.419320222955626</c:v>
                </c:pt>
                <c:pt idx="39">
                  <c:v>43.331688758480261</c:v>
                </c:pt>
                <c:pt idx="40">
                  <c:v>45.274855683374454</c:v>
                </c:pt>
                <c:pt idx="41">
                  <c:v>47.247421372402236</c:v>
                </c:pt>
                <c:pt idx="42">
                  <c:v>49.24798053669344</c:v>
                </c:pt>
                <c:pt idx="43">
                  <c:v>51.275125446853437</c:v>
                </c:pt>
                <c:pt idx="44">
                  <c:v>53.327448962343695</c:v>
                </c:pt>
                <c:pt idx="45">
                  <c:v>55.403547371221798</c:v>
                </c:pt>
                <c:pt idx="46">
                  <c:v>57.502023044817982</c:v>
                </c:pt>
                <c:pt idx="47">
                  <c:v>59.62148691233174</c:v>
                </c:pt>
                <c:pt idx="48">
                  <c:v>61.760560760665214</c:v>
                </c:pt>
                <c:pt idx="49">
                  <c:v>63.917879365076736</c:v>
                </c:pt>
                <c:pt idx="50">
                  <c:v>66.092092456445371</c:v>
                </c:pt>
                <c:pt idx="51">
                  <c:v>68.281866531091481</c:v>
                </c:pt>
                <c:pt idx="52">
                  <c:v>70.485886509205258</c:v>
                </c:pt>
                <c:pt idx="53">
                  <c:v>72.702857248000001</c:v>
                </c:pt>
                <c:pt idx="54">
                  <c:v>74.93150491573428</c:v>
                </c:pt>
                <c:pt idx="55">
                  <c:v>77.170578232741889</c:v>
                </c:pt>
                <c:pt idx="56">
                  <c:v>79.418849585574421</c:v>
                </c:pt>
                <c:pt idx="57">
                  <c:v>81.675116020301672</c:v>
                </c:pt>
                <c:pt idx="58">
                  <c:v>83.938200120934368</c:v>
                </c:pt>
                <c:pt idx="59">
                  <c:v>86.20695077883326</c:v>
                </c:pt>
                <c:pt idx="60">
                  <c:v>88.4802438588532</c:v>
                </c:pt>
                <c:pt idx="61">
                  <c:v>90.756982767840867</c:v>
                </c:pt>
                <c:pt idx="62">
                  <c:v>93.036098930964073</c:v>
                </c:pt>
                <c:pt idx="63">
                  <c:v>95.31655218120062</c:v>
                </c:pt>
                <c:pt idx="64">
                  <c:v>97.59733106715673</c:v>
                </c:pt>
                <c:pt idx="65">
                  <c:v>99.877453084221926</c:v>
                </c:pt>
                <c:pt idx="66">
                  <c:v>102.15596483389906</c:v>
                </c:pt>
                <c:pt idx="67">
                  <c:v>104.43194211597759</c:v>
                </c:pt>
                <c:pt idx="68">
                  <c:v>106.70448995804492</c:v>
                </c:pt>
                <c:pt idx="69">
                  <c:v>108.97274258665708</c:v>
                </c:pt>
                <c:pt idx="70">
                  <c:v>111.23586334431616</c:v>
                </c:pt>
                <c:pt idx="71">
                  <c:v>113.4930445562287</c:v>
                </c:pt>
                <c:pt idx="72">
                  <c:v>115.74350735064786</c:v>
                </c:pt>
                <c:pt idx="73">
                  <c:v>117.98650143643266</c:v>
                </c:pt>
                <c:pt idx="74">
                  <c:v>120.22130484129053</c:v>
                </c:pt>
                <c:pt idx="75">
                  <c:v>122.44722361400569</c:v>
                </c:pt>
                <c:pt idx="76">
                  <c:v>124.66359149379549</c:v>
                </c:pt>
                <c:pt idx="77">
                  <c:v>126.86976954977996</c:v>
                </c:pt>
                <c:pt idx="78">
                  <c:v>129.06514579339714</c:v>
                </c:pt>
                <c:pt idx="79">
                  <c:v>131.24913476644852</c:v>
                </c:pt>
                <c:pt idx="80">
                  <c:v>133.42117710731438</c:v>
                </c:pt>
                <c:pt idx="81">
                  <c:v>135.58073909773947</c:v>
                </c:pt>
                <c:pt idx="82">
                  <c:v>137.72731219245463</c:v>
                </c:pt>
                <c:pt idx="83">
                  <c:v>139.86041253376902</c:v>
                </c:pt>
                <c:pt idx="84">
                  <c:v>141.97958045314266</c:v>
                </c:pt>
                <c:pt idx="85">
                  <c:v>144.08437996162749</c:v>
                </c:pt>
                <c:pt idx="86">
                  <c:v>146.17439823094944</c:v>
                </c:pt>
                <c:pt idx="87">
                  <c:v>148.24924506689163</c:v>
                </c:pt>
                <c:pt idx="88">
                  <c:v>150.30855237653287</c:v>
                </c:pt>
                <c:pt idx="89">
                  <c:v>152.35197363079229</c:v>
                </c:pt>
                <c:pt idx="90">
                  <c:v>154.3791833236335</c:v>
                </c:pt>
                <c:pt idx="91">
                  <c:v>156.38987642918795</c:v>
                </c:pt>
                <c:pt idx="92">
                  <c:v>158.38376785796808</c:v>
                </c:pt>
                <c:pt idx="93">
                  <c:v>160.3605919132554</c:v>
                </c:pt>
                <c:pt idx="94">
                  <c:v>162.32010174866824</c:v>
                </c:pt>
                <c:pt idx="95">
                  <c:v>164.26206882783623</c:v>
                </c:pt>
                <c:pt idx="96">
                  <c:v>166.18628238703627</c:v>
                </c:pt>
                <c:pt idx="97">
                  <c:v>168.09254890157442</c:v>
                </c:pt>
                <c:pt idx="98">
                  <c:v>169.98069155663316</c:v>
                </c:pt>
                <c:pt idx="99">
                  <c:v>171.85054972324068</c:v>
                </c:pt>
                <c:pt idx="100">
                  <c:v>173.70197843996027</c:v>
                </c:pt>
                <c:pt idx="101">
                  <c:v>175.53484790084187</c:v>
                </c:pt>
                <c:pt idx="102">
                  <c:v>177.34904295012569</c:v>
                </c:pt>
                <c:pt idx="103">
                  <c:v>179.14446258413801</c:v>
                </c:pt>
                <c:pt idx="104">
                  <c:v>180.92101946077275</c:v>
                </c:pt>
                <c:pt idx="105">
                  <c:v>182.67863941690834</c:v>
                </c:pt>
                <c:pt idx="106">
                  <c:v>184.41726099406839</c:v>
                </c:pt>
                <c:pt idx="107">
                  <c:v>186.13683497259609</c:v>
                </c:pt>
                <c:pt idx="108">
                  <c:v>187.83732391457542</c:v>
                </c:pt>
                <c:pt idx="109">
                  <c:v>189.5187017156988</c:v>
                </c:pt>
                <c:pt idx="110">
                  <c:v>191.18095316624905</c:v>
                </c:pt>
                <c:pt idx="111">
                  <c:v>192.82407352133364</c:v>
                </c:pt>
                <c:pt idx="112">
                  <c:v>194.44806808048151</c:v>
                </c:pt>
                <c:pt idx="113">
                  <c:v>196.05295177668725</c:v>
                </c:pt>
                <c:pt idx="114">
                  <c:v>197.63874877496366</c:v>
                </c:pt>
                <c:pt idx="115">
                  <c:v>199.20549208044062</c:v>
                </c:pt>
                <c:pt idx="116">
                  <c:v>200.75322315602889</c:v>
                </c:pt>
                <c:pt idx="117">
                  <c:v>202.28199154964727</c:v>
                </c:pt>
                <c:pt idx="118">
                  <c:v>203.79185453099481</c:v>
                </c:pt>
                <c:pt idx="119">
                  <c:v>205.28287673783316</c:v>
                </c:pt>
                <c:pt idx="120">
                  <c:v>206.75512983172933</c:v>
                </c:pt>
                <c:pt idx="121">
                  <c:v>208.20869216319568</c:v>
                </c:pt>
                <c:pt idx="122">
                  <c:v>209.64364844615136</c:v>
                </c:pt>
                <c:pt idx="123">
                  <c:v>211.06008944161817</c:v>
                </c:pt>
                <c:pt idx="124">
                  <c:v>212.45811165055332</c:v>
                </c:pt>
                <c:pt idx="125">
                  <c:v>213.83781701571255</c:v>
                </c:pt>
                <c:pt idx="126">
                  <c:v>215.19931263242839</c:v>
                </c:pt>
                <c:pt idx="127">
                  <c:v>216.54271046818093</c:v>
                </c:pt>
                <c:pt idx="128">
                  <c:v>217.86812709083173</c:v>
                </c:pt>
                <c:pt idx="129">
                  <c:v>219.17568340538554</c:v>
                </c:pt>
                <c:pt idx="130">
                  <c:v>220.46550439913912</c:v>
                </c:pt>
                <c:pt idx="131">
                  <c:v>221.73771889507225</c:v>
                </c:pt>
                <c:pt idx="132">
                  <c:v>222.99245931333144</c:v>
                </c:pt>
                <c:pt idx="133">
                  <c:v>224.22986144065419</c:v>
                </c:pt>
                <c:pt idx="134">
                  <c:v>225.45006420757824</c:v>
                </c:pt>
                <c:pt idx="135">
                  <c:v>226.65320947327825</c:v>
                </c:pt>
                <c:pt idx="136">
                  <c:v>227.83944181787038</c:v>
                </c:pt>
                <c:pt idx="137">
                  <c:v>229.00890834202372</c:v>
                </c:pt>
                <c:pt idx="138">
                  <c:v>230.16175847371704</c:v>
                </c:pt>
                <c:pt idx="139">
                  <c:v>231.29814378197787</c:v>
                </c:pt>
                <c:pt idx="140">
                  <c:v>232.4182177974412</c:v>
                </c:pt>
                <c:pt idx="141">
                  <c:v>233.52213583956515</c:v>
                </c:pt>
                <c:pt idx="142">
                  <c:v>234.61005485034099</c:v>
                </c:pt>
                <c:pt idx="143">
                  <c:v>235.68213323433562</c:v>
                </c:pt>
                <c:pt idx="144">
                  <c:v>236.73853070490568</c:v>
                </c:pt>
                <c:pt idx="145">
                  <c:v>237.77940813642306</c:v>
                </c:pt>
                <c:pt idx="146">
                  <c:v>238.80492742235339</c:v>
                </c:pt>
                <c:pt idx="147">
                  <c:v>239.8152513390304</c:v>
                </c:pt>
                <c:pt idx="148">
                  <c:v>240.81054341497025</c:v>
                </c:pt>
                <c:pt idx="149">
                  <c:v>241.79096780557265</c:v>
                </c:pt>
                <c:pt idx="150">
                  <c:v>242.75668917305637</c:v>
                </c:pt>
                <c:pt idx="151">
                  <c:v>243.70787257148004</c:v>
                </c:pt>
                <c:pt idx="152">
                  <c:v>244.64468333670024</c:v>
                </c:pt>
                <c:pt idx="153">
                  <c:v>245.56728698112187</c:v>
                </c:pt>
                <c:pt idx="154">
                  <c:v>246.47584909309768</c:v>
                </c:pt>
                <c:pt idx="155">
                  <c:v>247.37053524083674</c:v>
                </c:pt>
                <c:pt idx="156">
                  <c:v>248.25151088068381</c:v>
                </c:pt>
                <c:pt idx="157">
                  <c:v>249.11894126963384</c:v>
                </c:pt>
                <c:pt idx="158">
                  <c:v>249.97299138194941</c:v>
                </c:pt>
                <c:pt idx="159">
                  <c:v>250.81382582975041</c:v>
                </c:pt>
                <c:pt idx="160">
                  <c:v>251.6416087874486</c:v>
                </c:pt>
                <c:pt idx="161">
                  <c:v>252.45650391990236</c:v>
                </c:pt>
                <c:pt idx="162">
                  <c:v>253.25867431416927</c:v>
                </c:pt>
                <c:pt idx="163">
                  <c:v>254.04828241473732</c:v>
                </c:pt>
                <c:pt idx="164">
                  <c:v>254.8254899621179</c:v>
                </c:pt>
                <c:pt idx="165">
                  <c:v>255.59045793468664</c:v>
                </c:pt>
                <c:pt idx="166">
                  <c:v>256.34334649366093</c:v>
                </c:pt>
                <c:pt idx="167">
                  <c:v>257.08431493110527</c:v>
                </c:pt>
                <c:pt idx="168">
                  <c:v>257.81352162085898</c:v>
                </c:pt>
                <c:pt idx="169">
                  <c:v>258.53112397228256</c:v>
                </c:pt>
                <c:pt idx="170">
                  <c:v>259.23727838672255</c:v>
                </c:pt>
                <c:pt idx="171">
                  <c:v>259.93214021659657</c:v>
                </c:pt>
                <c:pt idx="172">
                  <c:v>260.61586372700356</c:v>
                </c:pt>
                <c:pt idx="173">
                  <c:v>261.28860205976582</c:v>
                </c:pt>
                <c:pt idx="174">
                  <c:v>261.95050719981322</c:v>
                </c:pt>
                <c:pt idx="175">
                  <c:v>262.60172994382123</c:v>
                </c:pt>
                <c:pt idx="176">
                  <c:v>263.24241987101783</c:v>
                </c:pt>
                <c:pt idx="177">
                  <c:v>263.87272531607613</c:v>
                </c:pt>
                <c:pt idx="178">
                  <c:v>264.492793344012</c:v>
                </c:pt>
                <c:pt idx="179">
                  <c:v>265.10276972700922</c:v>
                </c:pt>
                <c:pt idx="180">
                  <c:v>265.70279892309514</c:v>
                </c:pt>
                <c:pt idx="181">
                  <c:v>266.29302405659428</c:v>
                </c:pt>
                <c:pt idx="182">
                  <c:v>266.87358690028753</c:v>
                </c:pt>
                <c:pt idx="183">
                  <c:v>267.44462785920854</c:v>
                </c:pt>
                <c:pt idx="184">
                  <c:v>268.00628595600898</c:v>
                </c:pt>
                <c:pt idx="185">
                  <c:v>268.55869881782894</c:v>
                </c:pt>
                <c:pt idx="186">
                  <c:v>269.10200266460851</c:v>
                </c:pt>
                <c:pt idx="187">
                  <c:v>269.63633229877962</c:v>
                </c:pt>
                <c:pt idx="188">
                  <c:v>270.16182109627931</c:v>
                </c:pt>
                <c:pt idx="189">
                  <c:v>270.67860099882716</c:v>
                </c:pt>
                <c:pt idx="190">
                  <c:v>271.18680250741119</c:v>
                </c:pt>
                <c:pt idx="191">
                  <c:v>271.68655467692918</c:v>
                </c:pt>
                <c:pt idx="192">
                  <c:v>272.17798511193337</c:v>
                </c:pt>
                <c:pt idx="193">
                  <c:v>272.66121996342838</c:v>
                </c:pt>
                <c:pt idx="194">
                  <c:v>273.1363839266744</c:v>
                </c:pt>
                <c:pt idx="195">
                  <c:v>273.60360023994838</c:v>
                </c:pt>
                <c:pt idx="196">
                  <c:v>274.06299068421862</c:v>
                </c:pt>
                <c:pt idx="197">
                  <c:v>274.51467558368887</c:v>
                </c:pt>
                <c:pt idx="198">
                  <c:v>274.95877380716985</c:v>
                </c:pt>
                <c:pt idx="199">
                  <c:v>275.39540277023769</c:v>
                </c:pt>
                <c:pt idx="200">
                  <c:v>275.82467843814038</c:v>
                </c:pt>
                <c:pt idx="201">
                  <c:v>276.24671532941386</c:v>
                </c:pt>
                <c:pt idx="202">
                  <c:v>276.66162652017186</c:v>
                </c:pt>
                <c:pt idx="203">
                  <c:v>277.06952364903424</c:v>
                </c:pt>
                <c:pt idx="204">
                  <c:v>277.47051692265967</c:v>
                </c:pt>
                <c:pt idx="205">
                  <c:v>277.86471512185074</c:v>
                </c:pt>
                <c:pt idx="206">
                  <c:v>278.25222560819952</c:v>
                </c:pt>
                <c:pt idx="207">
                  <c:v>278.63315433124347</c:v>
                </c:pt>
                <c:pt idx="208">
                  <c:v>279.00760583610281</c:v>
                </c:pt>
                <c:pt idx="209">
                  <c:v>279.37568327157123</c:v>
                </c:pt>
                <c:pt idx="210">
                  <c:v>279.73748839863299</c:v>
                </c:pt>
                <c:pt idx="211">
                  <c:v>280.09312159938048</c:v>
                </c:pt>
                <c:pt idx="212">
                  <c:v>280.44268188630775</c:v>
                </c:pt>
                <c:pt idx="213">
                  <c:v>280.78626691195535</c:v>
                </c:pt>
                <c:pt idx="214">
                  <c:v>281.12397297888413</c:v>
                </c:pt>
                <c:pt idx="215">
                  <c:v>281.45589504995576</c:v>
                </c:pt>
                <c:pt idx="216">
                  <c:v>281.7821267588987</c:v>
                </c:pt>
                <c:pt idx="217">
                  <c:v>282.10276042113918</c:v>
                </c:pt>
                <c:pt idx="218">
                  <c:v>282.41788704487806</c:v>
                </c:pt>
                <c:pt idx="219">
                  <c:v>282.72759634239441</c:v>
                </c:pt>
                <c:pt idx="220">
                  <c:v>283.0319767415582</c:v>
                </c:pt>
                <c:pt idx="221">
                  <c:v>283.33111539753469</c:v>
                </c:pt>
                <c:pt idx="222">
                  <c:v>283.62509820466414</c:v>
                </c:pt>
                <c:pt idx="223">
                  <c:v>283.91400980850113</c:v>
                </c:pt>
                <c:pt idx="224">
                  <c:v>284.19793361799816</c:v>
                </c:pt>
                <c:pt idx="225">
                  <c:v>284.47695181781933</c:v>
                </c:pt>
                <c:pt idx="226">
                  <c:v>284.75114538077008</c:v>
                </c:pt>
                <c:pt idx="227">
                  <c:v>285.02059408033006</c:v>
                </c:pt>
                <c:pt idx="228">
                  <c:v>285.28537650327598</c:v>
                </c:pt>
                <c:pt idx="229">
                  <c:v>285.54557006238298</c:v>
                </c:pt>
                <c:pt idx="230">
                  <c:v>285.80125100919241</c:v>
                </c:pt>
                <c:pt idx="231">
                  <c:v>286.05249444683574</c:v>
                </c:pt>
                <c:pt idx="232">
                  <c:v>286.29937434290309</c:v>
                </c:pt>
                <c:pt idx="233">
                  <c:v>286.54196354234773</c:v>
                </c:pt>
                <c:pt idx="234">
                  <c:v>286.78033378041562</c:v>
                </c:pt>
                <c:pt idx="235">
                  <c:v>287.01455569559204</c:v>
                </c:pt>
                <c:pt idx="236">
                  <c:v>287.24469884255586</c:v>
                </c:pt>
                <c:pt idx="237">
                  <c:v>287.470831705134</c:v>
                </c:pt>
                <c:pt idx="238">
                  <c:v>287.6930217092476</c:v>
                </c:pt>
                <c:pt idx="239">
                  <c:v>287.91133523584273</c:v>
                </c:pt>
                <c:pt idx="240">
                  <c:v>288.12583763379894</c:v>
                </c:pt>
                <c:pt idx="241">
                  <c:v>288.33659323280847</c:v>
                </c:pt>
                <c:pt idx="242">
                  <c:v>288.54366535622</c:v>
                </c:pt>
                <c:pt idx="243">
                  <c:v>288.74711633384118</c:v>
                </c:pt>
                <c:pt idx="244">
                  <c:v>288.94700751469384</c:v>
                </c:pt>
                <c:pt idx="245">
                  <c:v>289.1433992797169</c:v>
                </c:pt>
                <c:pt idx="246">
                  <c:v>289.33635105441186</c:v>
                </c:pt>
                <c:pt idx="247">
                  <c:v>289.52592132142587</c:v>
                </c:pt>
                <c:pt idx="248">
                  <c:v>289.71216763306813</c:v>
                </c:pt>
                <c:pt idx="249">
                  <c:v>289.89514662375541</c:v>
                </c:pt>
                <c:pt idx="250">
                  <c:v>290.07491402238259</c:v>
                </c:pt>
                <c:pt idx="251">
                  <c:v>290.25152466461446</c:v>
                </c:pt>
                <c:pt idx="252">
                  <c:v>290.42503250509566</c:v>
                </c:pt>
                <c:pt idx="253">
                  <c:v>290.59549062957478</c:v>
                </c:pt>
                <c:pt idx="254">
                  <c:v>290.76295126694043</c:v>
                </c:pt>
                <c:pt idx="255">
                  <c:v>290.92746580116591</c:v>
                </c:pt>
                <c:pt idx="256">
                  <c:v>291.08908478315965</c:v>
                </c:pt>
                <c:pt idx="257">
                  <c:v>291.24785794251966</c:v>
                </c:pt>
                <c:pt idx="258">
                  <c:v>291.40383419918925</c:v>
                </c:pt>
                <c:pt idx="259">
                  <c:v>291.55706167501171</c:v>
                </c:pt>
                <c:pt idx="260">
                  <c:v>291.70758770518273</c:v>
                </c:pt>
                <c:pt idx="261">
                  <c:v>291.85545884959805</c:v>
                </c:pt>
                <c:pt idx="262">
                  <c:v>292.0007209040952</c:v>
                </c:pt>
                <c:pt idx="263">
                  <c:v>292.14341891158773</c:v>
                </c:pt>
                <c:pt idx="264">
                  <c:v>292.28359717309047</c:v>
                </c:pt>
                <c:pt idx="265">
                  <c:v>292.4212992586348</c:v>
                </c:pt>
                <c:pt idx="266">
                  <c:v>292.55656801807294</c:v>
                </c:pt>
                <c:pt idx="267">
                  <c:v>292.68944559176992</c:v>
                </c:pt>
                <c:pt idx="268">
                  <c:v>292.81997342118285</c:v>
                </c:pt>
                <c:pt idx="269">
                  <c:v>292.9481922593265</c:v>
                </c:pt>
                <c:pt idx="270">
                  <c:v>293.07414218112473</c:v>
                </c:pt>
                <c:pt idx="271">
                  <c:v>293.19786259364707</c:v>
                </c:pt>
                <c:pt idx="272">
                  <c:v>293.31939224623039</c:v>
                </c:pt>
                <c:pt idx="273">
                  <c:v>293.43876924048476</c:v>
                </c:pt>
                <c:pt idx="274">
                  <c:v>293.55603104018388</c:v>
                </c:pt>
                <c:pt idx="275">
                  <c:v>293.67121448103967</c:v>
                </c:pt>
                <c:pt idx="276">
                  <c:v>293.78435578036078</c:v>
                </c:pt>
                <c:pt idx="277">
                  <c:v>293.89549054659528</c:v>
                </c:pt>
                <c:pt idx="278">
                  <c:v>294.00465378875742</c:v>
                </c:pt>
                <c:pt idx="279">
                  <c:v>294.11187992573878</c:v>
                </c:pt>
                <c:pt idx="280">
                  <c:v>294.21720279550379</c:v>
                </c:pt>
                <c:pt idx="281">
                  <c:v>294.32065566417032</c:v>
                </c:pt>
                <c:pt idx="282">
                  <c:v>294.42227123497486</c:v>
                </c:pt>
                <c:pt idx="283">
                  <c:v>294.52208165712358</c:v>
                </c:pt>
                <c:pt idx="284">
                  <c:v>294.62011853452907</c:v>
                </c:pt>
                <c:pt idx="285">
                  <c:v>294.71641293443361</c:v>
                </c:pt>
                <c:pt idx="286">
                  <c:v>294.81099539591906</c:v>
                </c:pt>
                <c:pt idx="287">
                  <c:v>294.90389593830457</c:v>
                </c:pt>
                <c:pt idx="288">
                  <c:v>294.99514406943189</c:v>
                </c:pt>
                <c:pt idx="289">
                  <c:v>295.08476879383988</c:v>
                </c:pt>
                <c:pt idx="290">
                  <c:v>295.17279862082808</c:v>
                </c:pt>
                <c:pt idx="291">
                  <c:v>295.25926157241042</c:v>
                </c:pt>
                <c:pt idx="292">
                  <c:v>295.3441851911598</c:v>
                </c:pt>
                <c:pt idx="293">
                  <c:v>295.42759654794435</c:v>
                </c:pt>
                <c:pt idx="294">
                  <c:v>295.50952224955603</c:v>
                </c:pt>
                <c:pt idx="295">
                  <c:v>295.58998844623244</c:v>
                </c:pt>
                <c:pt idx="296">
                  <c:v>295.66902083907286</c:v>
                </c:pt>
                <c:pt idx="297">
                  <c:v>295.74664468734898</c:v>
                </c:pt>
                <c:pt idx="298">
                  <c:v>295.8228848157118</c:v>
                </c:pt>
                <c:pt idx="299">
                  <c:v>295.89776562129515</c:v>
                </c:pt>
                <c:pt idx="300">
                  <c:v>295.97131108071682</c:v>
                </c:pt>
                <c:pt idx="301">
                  <c:v>296.04354475697835</c:v>
                </c:pt>
                <c:pt idx="302">
                  <c:v>296.1144898062646</c:v>
                </c:pt>
                <c:pt idx="303">
                  <c:v>296.18416898464375</c:v>
                </c:pt>
                <c:pt idx="304">
                  <c:v>296.25260465466869</c:v>
                </c:pt>
                <c:pt idx="305">
                  <c:v>296.31981879188112</c:v>
                </c:pt>
                <c:pt idx="306">
                  <c:v>296.38583299121933</c:v>
                </c:pt>
                <c:pt idx="307">
                  <c:v>296.4506684733301</c:v>
                </c:pt>
                <c:pt idx="308">
                  <c:v>296.51434609078666</c:v>
                </c:pt>
                <c:pt idx="309">
                  <c:v>296.57688633421276</c:v>
                </c:pt>
                <c:pt idx="310">
                  <c:v>296.63830933831474</c:v>
                </c:pt>
                <c:pt idx="311">
                  <c:v>296.69863488782204</c:v>
                </c:pt>
                <c:pt idx="312">
                  <c:v>296.75788242333755</c:v>
                </c:pt>
                <c:pt idx="313">
                  <c:v>296.81607104709838</c:v>
                </c:pt>
                <c:pt idx="314">
                  <c:v>296.8732195286488</c:v>
                </c:pt>
                <c:pt idx="315">
                  <c:v>296.92934631042567</c:v>
                </c:pt>
                <c:pt idx="316">
                  <c:v>296.98446951325786</c:v>
                </c:pt>
                <c:pt idx="317">
                  <c:v>297.03860694178053</c:v>
                </c:pt>
                <c:pt idx="318">
                  <c:v>297.09177608976535</c:v>
                </c:pt>
                <c:pt idx="319">
                  <c:v>297.14399414536763</c:v>
                </c:pt>
                <c:pt idx="320">
                  <c:v>297.19527799629151</c:v>
                </c:pt>
                <c:pt idx="321">
                  <c:v>297.24564423487425</c:v>
                </c:pt>
                <c:pt idx="322">
                  <c:v>297.29510916309044</c:v>
                </c:pt>
                <c:pt idx="323">
                  <c:v>297.34368879747751</c:v>
                </c:pt>
                <c:pt idx="324">
                  <c:v>297.39139887398312</c:v>
                </c:pt>
                <c:pt idx="325">
                  <c:v>297.43825485273589</c:v>
                </c:pt>
                <c:pt idx="326">
                  <c:v>297.48427192274028</c:v>
                </c:pt>
                <c:pt idx="327">
                  <c:v>297.52946500649642</c:v>
                </c:pt>
                <c:pt idx="328">
                  <c:v>297.57384876454648</c:v>
                </c:pt>
                <c:pt idx="329">
                  <c:v>297.61743759994783</c:v>
                </c:pt>
                <c:pt idx="330">
                  <c:v>297.66024566267458</c:v>
                </c:pt>
                <c:pt idx="331">
                  <c:v>297.70228685394824</c:v>
                </c:pt>
                <c:pt idx="332">
                  <c:v>297.74357483049846</c:v>
                </c:pt>
                <c:pt idx="333">
                  <c:v>297.78412300875488</c:v>
                </c:pt>
                <c:pt idx="334">
                  <c:v>297.82394456897106</c:v>
                </c:pt>
                <c:pt idx="335">
                  <c:v>297.86305245928128</c:v>
                </c:pt>
                <c:pt idx="336">
                  <c:v>297.90145939969153</c:v>
                </c:pt>
                <c:pt idx="337">
                  <c:v>297.93917788600533</c:v>
                </c:pt>
                <c:pt idx="338">
                  <c:v>297.97622019368515</c:v>
                </c:pt>
                <c:pt idx="339">
                  <c:v>298.01259838165095</c:v>
                </c:pt>
                <c:pt idx="340">
                  <c:v>298.04832429601612</c:v>
                </c:pt>
                <c:pt idx="341">
                  <c:v>298.08340957376214</c:v>
                </c:pt>
                <c:pt idx="342">
                  <c:v>298.11786564635264</c:v>
                </c:pt>
                <c:pt idx="343">
                  <c:v>298.15170374328784</c:v>
                </c:pt>
                <c:pt idx="344">
                  <c:v>298.18493489560024</c:v>
                </c:pt>
                <c:pt idx="345">
                  <c:v>298.21756993929245</c:v>
                </c:pt>
                <c:pt idx="346">
                  <c:v>298.24961951871796</c:v>
                </c:pt>
                <c:pt idx="347">
                  <c:v>298.28109408990582</c:v>
                </c:pt>
                <c:pt idx="348">
                  <c:v>298.31200392382982</c:v>
                </c:pt>
                <c:pt idx="349">
                  <c:v>298.34235910962337</c:v>
                </c:pt>
                <c:pt idx="350">
                  <c:v>298.37216955774062</c:v>
                </c:pt>
                <c:pt idx="351">
                  <c:v>298.40144500306474</c:v>
                </c:pt>
                <c:pt idx="352">
                  <c:v>298.43019500796407</c:v>
                </c:pt>
                <c:pt idx="353">
                  <c:v>298.45842896529734</c:v>
                </c:pt>
                <c:pt idx="354">
                  <c:v>298.48615610136795</c:v>
                </c:pt>
                <c:pt idx="355">
                  <c:v>298.51338547882892</c:v>
                </c:pt>
                <c:pt idx="356">
                  <c:v>298.54012599953887</c:v>
                </c:pt>
                <c:pt idx="357">
                  <c:v>298.56638640736981</c:v>
                </c:pt>
                <c:pt idx="358">
                  <c:v>298.59217529096748</c:v>
                </c:pt>
                <c:pt idx="359">
                  <c:v>298.61750108646504</c:v>
                </c:pt>
                <c:pt idx="360">
                  <c:v>298.64237208015095</c:v>
                </c:pt>
                <c:pt idx="361">
                  <c:v>298.66679641109147</c:v>
                </c:pt>
                <c:pt idx="362">
                  <c:v>298.69078207370887</c:v>
                </c:pt>
                <c:pt idx="363">
                  <c:v>298.71433692031565</c:v>
                </c:pt>
                <c:pt idx="364">
                  <c:v>298.73746866360563</c:v>
                </c:pt>
                <c:pt idx="365">
                  <c:v>298.76018487910306</c:v>
                </c:pt>
                <c:pt idx="366">
                  <c:v>298.78249300756931</c:v>
                </c:pt>
                <c:pt idx="367">
                  <c:v>298.8044003573691</c:v>
                </c:pt>
                <c:pt idx="368">
                  <c:v>298.82591410679601</c:v>
                </c:pt>
                <c:pt idx="369">
                  <c:v>298.84704130635816</c:v>
                </c:pt>
                <c:pt idx="370">
                  <c:v>298.86778888102526</c:v>
                </c:pt>
                <c:pt idx="371">
                  <c:v>298.88816363243637</c:v>
                </c:pt>
                <c:pt idx="372">
                  <c:v>298.90817224107053</c:v>
                </c:pt>
                <c:pt idx="373">
                  <c:v>298.92782126837983</c:v>
                </c:pt>
                <c:pt idx="374">
                  <c:v>298.94711715888565</c:v>
                </c:pt>
                <c:pt idx="375">
                  <c:v>298.96606624223932</c:v>
                </c:pt>
                <c:pt idx="376">
                  <c:v>298.98467473524676</c:v>
                </c:pt>
                <c:pt idx="377">
                  <c:v>299.00294874385872</c:v>
                </c:pt>
                <c:pt idx="378">
                  <c:v>299.02089426512651</c:v>
                </c:pt>
                <c:pt idx="379">
                  <c:v>299.03851718912381</c:v>
                </c:pt>
                <c:pt idx="380">
                  <c:v>299.05582330083558</c:v>
                </c:pt>
                <c:pt idx="381">
                  <c:v>299.07281828201428</c:v>
                </c:pt>
                <c:pt idx="382">
                  <c:v>299.08950771300363</c:v>
                </c:pt>
                <c:pt idx="383">
                  <c:v>299.10589707453136</c:v>
                </c:pt>
                <c:pt idx="384">
                  <c:v>299.12199174947045</c:v>
                </c:pt>
                <c:pt idx="385">
                  <c:v>299.13779702457003</c:v>
                </c:pt>
                <c:pt idx="386">
                  <c:v>299.15331809215621</c:v>
                </c:pt>
                <c:pt idx="387">
                  <c:v>299.1685600518033</c:v>
                </c:pt>
                <c:pt idx="388">
                  <c:v>299.18352791197628</c:v>
                </c:pt>
                <c:pt idx="389">
                  <c:v>299.19822659164424</c:v>
                </c:pt>
                <c:pt idx="390">
                  <c:v>299.21266092186625</c:v>
                </c:pt>
                <c:pt idx="391">
                  <c:v>299.22683564734916</c:v>
                </c:pt>
                <c:pt idx="392">
                  <c:v>299.24075542797874</c:v>
                </c:pt>
                <c:pt idx="393">
                  <c:v>299.25442484032357</c:v>
                </c:pt>
                <c:pt idx="394">
                  <c:v>299.26784837911327</c:v>
                </c:pt>
                <c:pt idx="395">
                  <c:v>299.28103045869051</c:v>
                </c:pt>
                <c:pt idx="396">
                  <c:v>299.29397541443785</c:v>
                </c:pt>
                <c:pt idx="397">
                  <c:v>299.30668750417954</c:v>
                </c:pt>
                <c:pt idx="398">
                  <c:v>299.31917090955898</c:v>
                </c:pt>
                <c:pt idx="399">
                  <c:v>299.33142973739189</c:v>
                </c:pt>
                <c:pt idx="400">
                  <c:v>299.34346802099589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E8-4034-92AD-C5D6AB38E45D}"/>
            </c:ext>
          </c:extLst>
        </c:ser>
        <c:ser>
          <c:idx val="1"/>
          <c:order val="1"/>
          <c:tx>
            <c:v>Exacto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Organismo_Euler!$B$12:$B$413</c:f>
              <c:numCache>
                <c:formatCode>General</c:formatCode>
                <c:ptCount val="4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xVal>
          <c:yVal>
            <c:numRef>
              <c:f>Organismo_Euler!$E$12:$E$413</c:f>
              <c:numCache>
                <c:formatCode>General</c:formatCode>
                <c:ptCount val="402"/>
                <c:pt idx="0">
                  <c:v>1</c:v>
                </c:pt>
                <c:pt idx="1">
                  <c:v>1.2457369067122488</c:v>
                </c:pt>
                <c:pt idx="2">
                  <c:v>1.5286485939791952</c:v>
                </c:pt>
                <c:pt idx="3">
                  <c:v>1.8509187928172961</c:v>
                </c:pt>
                <c:pt idx="4">
                  <c:v>2.2145716888045168</c:v>
                </c:pt>
                <c:pt idx="5">
                  <c:v>2.621465641911616</c:v>
                </c:pt>
                <c:pt idx="6">
                  <c:v>3.0732890506996648</c:v>
                </c:pt>
                <c:pt idx="7">
                  <c:v>3.571558090880552</c:v>
                </c:pt>
                <c:pt idx="8">
                  <c:v>4.1176160845258813</c:v>
                </c:pt>
                <c:pt idx="9">
                  <c:v>4.7126342802333445</c:v>
                </c:pt>
                <c:pt idx="10">
                  <c:v>5.3576138464997243</c:v>
                </c:pt>
                <c:pt idx="11">
                  <c:v>6.0533889005751584</c:v>
                </c:pt>
                <c:pt idx="12">
                  <c:v>6.8006304133379958</c:v>
                </c:pt>
                <c:pt idx="13">
                  <c:v>7.5998508473779669</c:v>
                </c:pt>
                <c:pt idx="14">
                  <c:v>8.4514094006380613</c:v>
                </c:pt>
                <c:pt idx="15">
                  <c:v>9.3555177417655226</c:v>
                </c:pt>
                <c:pt idx="16">
                  <c:v>10.312246135870794</c:v>
                </c:pt>
                <c:pt idx="17">
                  <c:v>11.32152987079475</c:v>
                </c:pt>
                <c:pt idx="18">
                  <c:v>12.38317590433323</c:v>
                </c:pt>
                <c:pt idx="19">
                  <c:v>13.496869662252982</c:v>
                </c:pt>
                <c:pt idx="20">
                  <c:v>14.66218192543435</c:v>
                </c:pt>
                <c:pt idx="21">
                  <c:v>15.878575752169015</c:v>
                </c:pt>
                <c:pt idx="22">
                  <c:v>17.145413388593727</c:v>
                </c:pt>
                <c:pt idx="23">
                  <c:v>18.461963126516665</c:v>
                </c:pt>
                <c:pt idx="24">
                  <c:v>19.827406073550513</c:v>
                </c:pt>
                <c:pt idx="25">
                  <c:v>21.240842805557648</c:v>
                </c:pt>
                <c:pt idx="26">
                  <c:v>22.701299875989246</c:v>
                </c:pt>
                <c:pt idx="27">
                  <c:v>24.207736160804689</c:v>
                </c:pt>
                <c:pt idx="28">
                  <c:v>25.759049021333389</c:v>
                </c:pt>
                <c:pt idx="29">
                  <c:v>27.354080270725802</c:v>
                </c:pt>
                <c:pt idx="30">
                  <c:v>28.991621932568869</c:v>
                </c:pt>
                <c:pt idx="31">
                  <c:v>30.670421782845811</c:v>
                </c:pt>
                <c:pt idx="32">
                  <c:v>32.389188668730313</c:v>
                </c:pt>
                <c:pt idx="33">
                  <c:v>34.146597599748063</c:v>
                </c:pt>
                <c:pt idx="34">
                  <c:v>35.941294608639659</c:v>
                </c:pt>
                <c:pt idx="35">
                  <c:v>37.771901380838671</c:v>
                </c:pt>
                <c:pt idx="36">
                  <c:v>39.63701965286176</c:v>
                </c:pt>
                <c:pt idx="37">
                  <c:v>41.535235381108961</c:v>
                </c:pt>
                <c:pt idx="38">
                  <c:v>43.465122683611796</c:v>
                </c:pt>
                <c:pt idx="39">
                  <c:v>45.425247558162049</c:v>
                </c:pt>
                <c:pt idx="40">
                  <c:v>47.414171381012579</c:v>
                </c:pt>
                <c:pt idx="41">
                  <c:v>49.430454190987213</c:v>
                </c:pt>
                <c:pt idx="42">
                  <c:v>51.472657764372279</c:v>
                </c:pt>
                <c:pt idx="43">
                  <c:v>53.539348486403277</c:v>
                </c:pt>
                <c:pt idx="44">
                  <c:v>55.629100025517815</c:v>
                </c:pt>
                <c:pt idx="45">
                  <c:v>57.740495816825103</c:v>
                </c:pt>
                <c:pt idx="46">
                  <c:v>59.87213136145516</c:v>
                </c:pt>
                <c:pt idx="47">
                  <c:v>62.022616348604565</c:v>
                </c:pt>
                <c:pt idx="48">
                  <c:v>64.190576607194032</c:v>
                </c:pt>
                <c:pt idx="49">
                  <c:v>66.374655894107804</c:v>
                </c:pt>
                <c:pt idx="50">
                  <c:v>68.573517525994632</c:v>
                </c:pt>
                <c:pt idx="51">
                  <c:v>70.785845861588285</c:v>
                </c:pt>
                <c:pt idx="52">
                  <c:v>73.010347641449798</c:v>
                </c:pt>
                <c:pt idx="53">
                  <c:v>75.245753191949689</c:v>
                </c:pt>
                <c:pt idx="54">
                  <c:v>77.490817500206362</c:v>
                </c:pt>
                <c:pt idx="55">
                  <c:v>79.744321166568781</c:v>
                </c:pt>
                <c:pt idx="56">
                  <c:v>82.005071241090803</c:v>
                </c:pt>
                <c:pt idx="57">
                  <c:v>84.271901950289362</c:v>
                </c:pt>
                <c:pt idx="58">
                  <c:v>86.5436753203102</c:v>
                </c:pt>
                <c:pt idx="59">
                  <c:v>88.819281702448691</c:v>
                </c:pt>
                <c:pt idx="60">
                  <c:v>91.097640206791141</c:v>
                </c:pt>
                <c:pt idx="61">
                  <c:v>93.377699049549577</c:v>
                </c:pt>
                <c:pt idx="62">
                  <c:v>95.65843581947334</c:v>
                </c:pt>
                <c:pt idx="63">
                  <c:v>97.938857668522829</c:v>
                </c:pt>
                <c:pt idx="64">
                  <c:v>100.21800143179351</c:v>
                </c:pt>
                <c:pt idx="65">
                  <c:v>102.49493368148504</c:v>
                </c:pt>
                <c:pt idx="66">
                  <c:v>104.76875071950661</c:v>
                </c:pt>
                <c:pt idx="67">
                  <c:v>107.03857851312314</c:v>
                </c:pt>
                <c:pt idx="68">
                  <c:v>109.30357257784695</c:v>
                </c:pt>
                <c:pt idx="69">
                  <c:v>111.56291781159464</c:v>
                </c:pt>
                <c:pt idx="70">
                  <c:v>113.81582828393958</c:v>
                </c:pt>
                <c:pt idx="71">
                  <c:v>116.06154698410982</c:v>
                </c:pt>
                <c:pt idx="72">
                  <c:v>118.29934553120046</c:v>
                </c:pt>
                <c:pt idx="73">
                  <c:v>120.52852384989838</c:v>
                </c:pt>
                <c:pt idx="74">
                  <c:v>122.74840981484554</c:v>
                </c:pt>
                <c:pt idx="75">
                  <c:v>124.95835886660417</c:v>
                </c:pt>
                <c:pt idx="76">
                  <c:v>127.15775360202839</c:v>
                </c:pt>
                <c:pt idx="77">
                  <c:v>129.34600334169133</c:v>
                </c:pt>
                <c:pt idx="78">
                  <c:v>131.52254367686962</c:v>
                </c:pt>
                <c:pt idx="79">
                  <c:v>133.68683599844303</c:v>
                </c:pt>
                <c:pt idx="80">
                  <c:v>135.83836700992967</c:v>
                </c:pt>
                <c:pt idx="81">
                  <c:v>137.97664822674338</c:v>
                </c:pt>
                <c:pt idx="82">
                  <c:v>140.10121546363385</c:v>
                </c:pt>
                <c:pt idx="83">
                  <c:v>142.21162831214679</c:v>
                </c:pt>
                <c:pt idx="84">
                  <c:v>144.30746960982441</c:v>
                </c:pt>
                <c:pt idx="85">
                  <c:v>146.38834490275579</c:v>
                </c:pt>
                <c:pt idx="86">
                  <c:v>148.45388190297814</c:v>
                </c:pt>
                <c:pt idx="87">
                  <c:v>150.50372994212802</c:v>
                </c:pt>
                <c:pt idx="88">
                  <c:v>152.53755942264576</c:v>
                </c:pt>
                <c:pt idx="89">
                  <c:v>154.5550612677408</c:v>
                </c:pt>
                <c:pt idx="90">
                  <c:v>156.55594637124022</c:v>
                </c:pt>
                <c:pt idx="91">
                  <c:v>158.53994504835671</c:v>
                </c:pt>
                <c:pt idx="92">
                  <c:v>160.50680648833381</c:v>
                </c:pt>
                <c:pt idx="93">
                  <c:v>162.45629820984928</c:v>
                </c:pt>
                <c:pt idx="94">
                  <c:v>164.38820551998725</c:v>
                </c:pt>
                <c:pt idx="95">
                  <c:v>166.30233097752151</c:v>
                </c:pt>
                <c:pt idx="96">
                  <c:v>168.19849386118747</c:v>
                </c:pt>
                <c:pt idx="97">
                  <c:v>170.0765296435597</c:v>
                </c:pt>
                <c:pt idx="98">
                  <c:v>171.93628947109625</c:v>
                </c:pt>
                <c:pt idx="99">
                  <c:v>173.77763965085461</c:v>
                </c:pt>
                <c:pt idx="100">
                  <c:v>175.60046114433572</c:v>
                </c:pt>
                <c:pt idx="101">
                  <c:v>177.40464906886208</c:v>
                </c:pt>
                <c:pt idx="102">
                  <c:v>179.1901122068536</c:v>
                </c:pt>
                <c:pt idx="103">
                  <c:v>180.9567725233197</c:v>
                </c:pt>
                <c:pt idx="104">
                  <c:v>182.70456469185032</c:v>
                </c:pt>
                <c:pt idx="105">
                  <c:v>184.43343562934675</c:v>
                </c:pt>
                <c:pt idx="106">
                  <c:v>186.14334403970292</c:v>
                </c:pt>
                <c:pt idx="107">
                  <c:v>187.83425996661126</c:v>
                </c:pt>
                <c:pt idx="108">
                  <c:v>189.50616435564092</c:v>
                </c:pt>
                <c:pt idx="109">
                  <c:v>191.1590486257048</c:v>
                </c:pt>
                <c:pt idx="110">
                  <c:v>192.79291425000602</c:v>
                </c:pt>
                <c:pt idx="111">
                  <c:v>194.40777234653211</c:v>
                </c:pt>
                <c:pt idx="112">
                  <c:v>196.00364327814009</c:v>
                </c:pt>
                <c:pt idx="113">
                  <c:v>197.58055626225504</c:v>
                </c:pt>
                <c:pt idx="114">
                  <c:v>199.13854899018725</c:v>
                </c:pt>
                <c:pt idx="115">
                  <c:v>200.67766725605287</c:v>
                </c:pt>
                <c:pt idx="116">
                  <c:v>202.19796459526572</c:v>
                </c:pt>
                <c:pt idx="117">
                  <c:v>203.69950193255815</c:v>
                </c:pt>
                <c:pt idx="118">
                  <c:v>205.18234723946659</c:v>
                </c:pt>
                <c:pt idx="119">
                  <c:v>206.6465752012125</c:v>
                </c:pt>
                <c:pt idx="120">
                  <c:v>208.09226689289264</c:v>
                </c:pt>
                <c:pt idx="121">
                  <c:v>209.51950946488407</c:v>
                </c:pt>
                <c:pt idx="122">
                  <c:v>210.92839583736139</c:v>
                </c:pt>
                <c:pt idx="123">
                  <c:v>212.31902440380989</c:v>
                </c:pt>
                <c:pt idx="124">
                  <c:v>213.69149874341738</c:v>
                </c:pt>
                <c:pt idx="125">
                  <c:v>215.04592734221467</c:v>
                </c:pt>
                <c:pt idx="126">
                  <c:v>216.38242332283184</c:v>
                </c:pt>
                <c:pt idx="127">
                  <c:v>217.70110418273225</c:v>
                </c:pt>
                <c:pt idx="128">
                  <c:v>219.00209154077746</c:v>
                </c:pt>
                <c:pt idx="129">
                  <c:v>220.28551089197921</c:v>
                </c:pt>
                <c:pt idx="130">
                  <c:v>221.55149137028241</c:v>
                </c:pt>
                <c:pt idx="131">
                  <c:v>222.80016551922861</c:v>
                </c:pt>
                <c:pt idx="132">
                  <c:v>224.03166907034145</c:v>
                </c:pt>
                <c:pt idx="133">
                  <c:v>225.24614072907372</c:v>
                </c:pt>
                <c:pt idx="134">
                  <c:v>226.44372196815863</c:v>
                </c:pt>
                <c:pt idx="135">
                  <c:v>227.62455682820234</c:v>
                </c:pt>
                <c:pt idx="136">
                  <c:v>228.78879172535426</c:v>
                </c:pt>
                <c:pt idx="137">
                  <c:v>229.93657526589476</c:v>
                </c:pt>
                <c:pt idx="138">
                  <c:v>231.06805806757654</c:v>
                </c:pt>
                <c:pt idx="139">
                  <c:v>232.18339258755756</c:v>
                </c:pt>
                <c:pt idx="140">
                  <c:v>233.2827329567624</c:v>
                </c:pt>
                <c:pt idx="141">
                  <c:v>234.36623482051343</c:v>
                </c:pt>
                <c:pt idx="142">
                  <c:v>235.4340551852691</c:v>
                </c:pt>
                <c:pt idx="143">
                  <c:v>236.48635227131291</c:v>
                </c:pt>
                <c:pt idx="144">
                  <c:v>237.52328537123222</c:v>
                </c:pt>
                <c:pt idx="145">
                  <c:v>238.54501471403594</c:v>
                </c:pt>
                <c:pt idx="146">
                  <c:v>239.55170133475167</c:v>
                </c:pt>
                <c:pt idx="147">
                  <c:v>240.54350694935377</c:v>
                </c:pt>
                <c:pt idx="148">
                  <c:v>241.52059383487054</c:v>
                </c:pt>
                <c:pt idx="149">
                  <c:v>242.48312471452289</c:v>
                </c:pt>
                <c:pt idx="150">
                  <c:v>243.43126264774835</c:v>
                </c:pt>
                <c:pt idx="151">
                  <c:v>244.36517092496643</c:v>
                </c:pt>
                <c:pt idx="152">
                  <c:v>245.28501296694603</c:v>
                </c:pt>
                <c:pt idx="153">
                  <c:v>246.19095222863291</c:v>
                </c:pt>
                <c:pt idx="154">
                  <c:v>247.08315210730473</c:v>
                </c:pt>
                <c:pt idx="155">
                  <c:v>247.96177585491682</c:v>
                </c:pt>
                <c:pt idx="156">
                  <c:v>248.8269864945099</c:v>
                </c:pt>
                <c:pt idx="157">
                  <c:v>249.67894674055054</c:v>
                </c:pt>
                <c:pt idx="158">
                  <c:v>250.51781892307744</c:v>
                </c:pt>
                <c:pt idx="159">
                  <c:v>251.34376491553303</c:v>
                </c:pt>
                <c:pt idx="160">
                  <c:v>252.15694606615767</c:v>
                </c:pt>
                <c:pt idx="161">
                  <c:v>252.95752313283006</c:v>
                </c:pt>
                <c:pt idx="162">
                  <c:v>253.74565622123831</c:v>
                </c:pt>
                <c:pt idx="163">
                  <c:v>254.52150472626957</c:v>
                </c:pt>
                <c:pt idx="164">
                  <c:v>255.28522727650852</c:v>
                </c:pt>
                <c:pt idx="165">
                  <c:v>256.03698168173878</c:v>
                </c:pt>
                <c:pt idx="166">
                  <c:v>256.77692488333969</c:v>
                </c:pt>
                <c:pt idx="167">
                  <c:v>257.50521290748208</c:v>
                </c:pt>
                <c:pt idx="168">
                  <c:v>258.22200082101841</c:v>
                </c:pt>
                <c:pt idx="169">
                  <c:v>258.92744268997535</c:v>
                </c:pt>
                <c:pt idx="170">
                  <c:v>259.62169154055141</c:v>
                </c:pt>
                <c:pt idx="171">
                  <c:v>260.3048993225301</c:v>
                </c:pt>
                <c:pt idx="172">
                  <c:v>260.97721687502064</c:v>
                </c:pt>
                <c:pt idx="173">
                  <c:v>261.63879389443525</c:v>
                </c:pt>
                <c:pt idx="174">
                  <c:v>262.28977890462568</c:v>
                </c:pt>
                <c:pt idx="175">
                  <c:v>262.93031922909188</c:v>
                </c:pt>
                <c:pt idx="176">
                  <c:v>263.56056096518438</c:v>
                </c:pt>
                <c:pt idx="177">
                  <c:v>264.18064896022611</c:v>
                </c:pt>
                <c:pt idx="178">
                  <c:v>264.79072678947631</c:v>
                </c:pt>
                <c:pt idx="179">
                  <c:v>265.39093673586342</c:v>
                </c:pt>
                <c:pt idx="180">
                  <c:v>265.98141977142052</c:v>
                </c:pt>
                <c:pt idx="181">
                  <c:v>266.56231554034815</c:v>
                </c:pt>
                <c:pt idx="182">
                  <c:v>267.13376234364677</c:v>
                </c:pt>
                <c:pt idx="183">
                  <c:v>267.69589712524726</c:v>
                </c:pt>
                <c:pt idx="184">
                  <c:v>268.24885545958125</c:v>
                </c:pt>
                <c:pt idx="185">
                  <c:v>268.79277154053068</c:v>
                </c:pt>
                <c:pt idx="186">
                  <c:v>269.32777817169688</c:v>
                </c:pt>
                <c:pt idx="187">
                  <c:v>269.85400675793454</c:v>
                </c:pt>
                <c:pt idx="188">
                  <c:v>270.37158729809374</c:v>
                </c:pt>
                <c:pt idx="189">
                  <c:v>270.88064837892011</c:v>
                </c:pt>
                <c:pt idx="190">
                  <c:v>271.38131717005876</c:v>
                </c:pt>
                <c:pt idx="191">
                  <c:v>271.87371942011544</c:v>
                </c:pt>
                <c:pt idx="192">
                  <c:v>272.35797945372423</c:v>
                </c:pt>
                <c:pt idx="193">
                  <c:v>272.83422016957974</c:v>
                </c:pt>
                <c:pt idx="194">
                  <c:v>273.30256303938319</c:v>
                </c:pt>
                <c:pt idx="195">
                  <c:v>273.76312810766751</c:v>
                </c:pt>
                <c:pt idx="196">
                  <c:v>274.2160339924493</c:v>
                </c:pt>
                <c:pt idx="197">
                  <c:v>274.66139788667908</c:v>
                </c:pt>
                <c:pt idx="198">
                  <c:v>275.09933556044092</c:v>
                </c:pt>
                <c:pt idx="199">
                  <c:v>275.52996136387031</c:v>
                </c:pt>
                <c:pt idx="200">
                  <c:v>275.953388230754</c:v>
                </c:pt>
                <c:pt idx="201">
                  <c:v>276.3697276827711</c:v>
                </c:pt>
                <c:pt idx="202">
                  <c:v>276.77908983435015</c:v>
                </c:pt>
                <c:pt idx="203">
                  <c:v>277.18158339810458</c:v>
                </c:pt>
                <c:pt idx="204">
                  <c:v>277.57731569081568</c:v>
                </c:pt>
                <c:pt idx="205">
                  <c:v>277.96639263993609</c:v>
                </c:pt>
                <c:pt idx="206">
                  <c:v>278.34891879058125</c:v>
                </c:pt>
                <c:pt idx="207">
                  <c:v>278.72499731298473</c:v>
                </c:pt>
                <c:pt idx="208">
                  <c:v>279.09473001038577</c:v>
                </c:pt>
                <c:pt idx="209">
                  <c:v>279.45821732733015</c:v>
                </c:pt>
                <c:pt idx="210">
                  <c:v>279.81555835835269</c:v>
                </c:pt>
                <c:pt idx="211">
                  <c:v>280.1668508570221</c:v>
                </c:pt>
                <c:pt idx="212">
                  <c:v>280.51219124532378</c:v>
                </c:pt>
                <c:pt idx="213">
                  <c:v>280.85167462335795</c:v>
                </c:pt>
                <c:pt idx="214">
                  <c:v>281.18539477933393</c:v>
                </c:pt>
                <c:pt idx="215">
                  <c:v>281.51344419983934</c:v>
                </c:pt>
                <c:pt idx="216">
                  <c:v>281.83591408036153</c:v>
                </c:pt>
                <c:pt idx="217">
                  <c:v>282.15289433605039</c:v>
                </c:pt>
                <c:pt idx="218">
                  <c:v>282.46447361269611</c:v>
                </c:pt>
                <c:pt idx="219">
                  <c:v>282.77073929790993</c:v>
                </c:pt>
                <c:pt idx="220">
                  <c:v>283.07177753248936</c:v>
                </c:pt>
                <c:pt idx="221">
                  <c:v>283.36767322195396</c:v>
                </c:pt>
                <c:pt idx="222">
                  <c:v>283.65851004823298</c:v>
                </c:pt>
                <c:pt idx="223">
                  <c:v>283.94437048149496</c:v>
                </c:pt>
                <c:pt idx="224">
                  <c:v>284.22533579210238</c:v>
                </c:pt>
                <c:pt idx="225">
                  <c:v>284.50148606267777</c:v>
                </c:pt>
                <c:pt idx="226">
                  <c:v>284.77290020027101</c:v>
                </c:pt>
                <c:pt idx="227">
                  <c:v>285.03965594861472</c:v>
                </c:pt>
                <c:pt idx="228">
                  <c:v>285.30182990045427</c:v>
                </c:pt>
                <c:pt idx="229">
                  <c:v>285.55949750994387</c:v>
                </c:pt>
                <c:pt idx="230">
                  <c:v>285.81273310509789</c:v>
                </c:pt>
                <c:pt idx="231">
                  <c:v>286.06160990028548</c:v>
                </c:pt>
                <c:pt idx="232">
                  <c:v>286.30620000876047</c:v>
                </c:pt>
                <c:pt idx="233">
                  <c:v>286.54657445521735</c:v>
                </c:pt>
                <c:pt idx="234">
                  <c:v>286.78280318836426</c:v>
                </c:pt>
                <c:pt idx="235">
                  <c:v>287.01495509350417</c:v>
                </c:pt>
                <c:pt idx="236">
                  <c:v>287.24309800511753</c:v>
                </c:pt>
                <c:pt idx="237">
                  <c:v>287.46729871943791</c:v>
                </c:pt>
                <c:pt idx="238">
                  <c:v>287.68762300701343</c:v>
                </c:pt>
                <c:pt idx="239">
                  <c:v>287.90413562524884</c:v>
                </c:pt>
                <c:pt idx="240">
                  <c:v>288.11690033091929</c:v>
                </c:pt>
                <c:pt idx="241">
                  <c:v>288.32597989265099</c:v>
                </c:pt>
                <c:pt idx="242">
                  <c:v>288.53143610336434</c:v>
                </c:pt>
                <c:pt idx="243">
                  <c:v>288.73332979267138</c:v>
                </c:pt>
                <c:pt idx="244">
                  <c:v>288.93172083922445</c:v>
                </c:pt>
                <c:pt idx="245">
                  <c:v>289.12666818300892</c:v>
                </c:pt>
                <c:pt idx="246">
                  <c:v>289.3182298375803</c:v>
                </c:pt>
                <c:pt idx="247">
                  <c:v>289.50646290223318</c:v>
                </c:pt>
                <c:pt idx="248">
                  <c:v>289.69142357410783</c:v>
                </c:pt>
                <c:pt idx="249">
                  <c:v>289.87316716022139</c:v>
                </c:pt>
                <c:pt idx="250">
                  <c:v>290.05174808942598</c:v>
                </c:pt>
                <c:pt idx="251">
                  <c:v>290.22721992428899</c:v>
                </c:pt>
                <c:pt idx="252">
                  <c:v>290.39963537289088</c:v>
                </c:pt>
                <c:pt idx="253">
                  <c:v>290.56904630053867</c:v>
                </c:pt>
                <c:pt idx="254">
                  <c:v>290.73550374139217</c:v>
                </c:pt>
                <c:pt idx="255">
                  <c:v>290.89905791000189</c:v>
                </c:pt>
                <c:pt idx="256">
                  <c:v>291.05975821275285</c:v>
                </c:pt>
                <c:pt idx="257">
                  <c:v>291.21765325921422</c:v>
                </c:pt>
                <c:pt idx="258">
                  <c:v>291.37279087339419</c:v>
                </c:pt>
                <c:pt idx="259">
                  <c:v>291.5252181048948</c:v>
                </c:pt>
                <c:pt idx="260">
                  <c:v>291.67498123996745</c:v>
                </c:pt>
                <c:pt idx="261">
                  <c:v>291.8221258124666</c:v>
                </c:pt>
                <c:pt idx="262">
                  <c:v>291.96669661470031</c:v>
                </c:pt>
                <c:pt idx="263">
                  <c:v>292.10873770817665</c:v>
                </c:pt>
                <c:pt idx="264">
                  <c:v>292.24829243424449</c:v>
                </c:pt>
                <c:pt idx="265">
                  <c:v>292.38540342462716</c:v>
                </c:pt>
                <c:pt idx="266">
                  <c:v>292.52011261184862</c:v>
                </c:pt>
                <c:pt idx="267">
                  <c:v>292.65246123955205</c:v>
                </c:pt>
                <c:pt idx="268">
                  <c:v>292.78248987270837</c:v>
                </c:pt>
                <c:pt idx="269">
                  <c:v>292.91023840771533</c:v>
                </c:pt>
                <c:pt idx="270">
                  <c:v>293.0357460823858</c:v>
                </c:pt>
                <c:pt idx="271">
                  <c:v>293.15905148582652</c:v>
                </c:pt>
                <c:pt idx="272">
                  <c:v>293.28019256820471</c:v>
                </c:pt>
                <c:pt idx="273">
                  <c:v>293.39920665040302</c:v>
                </c:pt>
                <c:pt idx="274">
                  <c:v>293.51613043356451</c:v>
                </c:pt>
                <c:pt idx="275">
                  <c:v>293.63100000852501</c:v>
                </c:pt>
                <c:pt idx="276">
                  <c:v>293.74385086513325</c:v>
                </c:pt>
                <c:pt idx="277">
                  <c:v>293.8547179014613</c:v>
                </c:pt>
                <c:pt idx="278">
                  <c:v>293.96363543290073</c:v>
                </c:pt>
                <c:pt idx="279">
                  <c:v>294.07063720115025</c:v>
                </c:pt>
                <c:pt idx="280">
                  <c:v>294.1757563830904</c:v>
                </c:pt>
                <c:pt idx="281">
                  <c:v>294.27902559954867</c:v>
                </c:pt>
                <c:pt idx="282">
                  <c:v>294.38047692395259</c:v>
                </c:pt>
                <c:pt idx="283">
                  <c:v>294.48014189087411</c:v>
                </c:pt>
                <c:pt idx="284">
                  <c:v>294.57805150446399</c:v>
                </c:pt>
                <c:pt idx="285">
                  <c:v>294.67423624677656</c:v>
                </c:pt>
                <c:pt idx="286">
                  <c:v>294.76872608598569</c:v>
                </c:pt>
                <c:pt idx="287">
                  <c:v>294.86155048449365</c:v>
                </c:pt>
                <c:pt idx="288">
                  <c:v>294.95273840693216</c:v>
                </c:pt>
                <c:pt idx="289">
                  <c:v>295.04231832805465</c:v>
                </c:pt>
                <c:pt idx="290">
                  <c:v>295.13031824052581</c:v>
                </c:pt>
                <c:pt idx="291">
                  <c:v>295.21676566260169</c:v>
                </c:pt>
                <c:pt idx="292">
                  <c:v>295.30168764570863</c:v>
                </c:pt>
                <c:pt idx="293">
                  <c:v>295.38511078191596</c:v>
                </c:pt>
                <c:pt idx="294">
                  <c:v>295.4670612113045</c:v>
                </c:pt>
                <c:pt idx="295">
                  <c:v>295.54756462923609</c:v>
                </c:pt>
                <c:pt idx="296">
                  <c:v>295.62664629351804</c:v>
                </c:pt>
                <c:pt idx="297">
                  <c:v>295.7043310314686</c:v>
                </c:pt>
                <c:pt idx="298">
                  <c:v>295.78064324688171</c:v>
                </c:pt>
                <c:pt idx="299">
                  <c:v>295.85560692689171</c:v>
                </c:pt>
                <c:pt idx="300">
                  <c:v>295.92924564874346</c:v>
                </c:pt>
                <c:pt idx="301">
                  <c:v>296.00158258646007</c:v>
                </c:pt>
                <c:pt idx="302">
                  <c:v>296.0726405174189</c:v>
                </c:pt>
                <c:pt idx="303">
                  <c:v>296.14244182882834</c:v>
                </c:pt>
                <c:pt idx="304">
                  <c:v>296.2110085241132</c:v>
                </c:pt>
                <c:pt idx="305">
                  <c:v>296.27836222920411</c:v>
                </c:pt>
                <c:pt idx="306">
                  <c:v>296.34452419873628</c:v>
                </c:pt>
                <c:pt idx="307">
                  <c:v>296.40951532215456</c:v>
                </c:pt>
                <c:pt idx="308">
                  <c:v>296.47335612973012</c:v>
                </c:pt>
                <c:pt idx="309">
                  <c:v>296.53606679848502</c:v>
                </c:pt>
                <c:pt idx="310">
                  <c:v>296.59766715803113</c:v>
                </c:pt>
                <c:pt idx="311">
                  <c:v>296.6581766963173</c:v>
                </c:pt>
                <c:pt idx="312">
                  <c:v>296.71761456529418</c:v>
                </c:pt>
                <c:pt idx="313">
                  <c:v>296.77599958648989</c:v>
                </c:pt>
                <c:pt idx="314">
                  <c:v>296.83335025650234</c:v>
                </c:pt>
                <c:pt idx="315">
                  <c:v>296.88968475240853</c:v>
                </c:pt>
                <c:pt idx="316">
                  <c:v>296.94502093708951</c:v>
                </c:pt>
                <c:pt idx="317">
                  <c:v>296.99937636447436</c:v>
                </c:pt>
                <c:pt idx="318">
                  <c:v>297.05276828470403</c:v>
                </c:pt>
                <c:pt idx="319">
                  <c:v>297.10521364921368</c:v>
                </c:pt>
                <c:pt idx="320">
                  <c:v>297.15672911573921</c:v>
                </c:pt>
                <c:pt idx="321">
                  <c:v>297.20733105324172</c:v>
                </c:pt>
                <c:pt idx="322">
                  <c:v>297.25703554675988</c:v>
                </c:pt>
                <c:pt idx="323">
                  <c:v>297.30585840218259</c:v>
                </c:pt>
                <c:pt idx="324">
                  <c:v>297.35381515094929</c:v>
                </c:pt>
                <c:pt idx="325">
                  <c:v>297.40092105467448</c:v>
                </c:pt>
                <c:pt idx="326">
                  <c:v>297.44719110970141</c:v>
                </c:pt>
                <c:pt idx="327">
                  <c:v>297.49264005158238</c:v>
                </c:pt>
                <c:pt idx="328">
                  <c:v>297.53728235948779</c:v>
                </c:pt>
                <c:pt idx="329">
                  <c:v>297.58113226054712</c:v>
                </c:pt>
                <c:pt idx="330">
                  <c:v>297.62420373411732</c:v>
                </c:pt>
                <c:pt idx="331">
                  <c:v>297.66651051598762</c:v>
                </c:pt>
                <c:pt idx="332">
                  <c:v>297.70806610251265</c:v>
                </c:pt>
                <c:pt idx="333">
                  <c:v>297.74888375468333</c:v>
                </c:pt>
                <c:pt idx="334">
                  <c:v>297.78897650212781</c:v>
                </c:pt>
                <c:pt idx="335">
                  <c:v>297.82835714705277</c:v>
                </c:pt>
                <c:pt idx="336">
                  <c:v>297.8670382681176</c:v>
                </c:pt>
                <c:pt idx="337">
                  <c:v>297.90503222424815</c:v>
                </c:pt>
                <c:pt idx="338">
                  <c:v>297.94235115838609</c:v>
                </c:pt>
                <c:pt idx="339">
                  <c:v>297.97900700118169</c:v>
                </c:pt>
                <c:pt idx="340">
                  <c:v>298.01501147462045</c:v>
                </c:pt>
                <c:pt idx="341">
                  <c:v>298.05037609559781</c:v>
                </c:pt>
                <c:pt idx="342">
                  <c:v>298.08511217942907</c:v>
                </c:pt>
                <c:pt idx="343">
                  <c:v>298.11923084330522</c:v>
                </c:pt>
                <c:pt idx="344">
                  <c:v>298.15274300969287</c:v>
                </c:pt>
                <c:pt idx="345">
                  <c:v>298.18565940967522</c:v>
                </c:pt>
                <c:pt idx="346">
                  <c:v>298.21799058624117</c:v>
                </c:pt>
                <c:pt idx="347">
                  <c:v>298.24974689751866</c:v>
                </c:pt>
                <c:pt idx="348">
                  <c:v>298.28093851995476</c:v>
                </c:pt>
                <c:pt idx="349">
                  <c:v>298.31157545144464</c:v>
                </c:pt>
                <c:pt idx="350">
                  <c:v>298.34166751440654</c:v>
                </c:pt>
                <c:pt idx="351">
                  <c:v>298.37122435880713</c:v>
                </c:pt>
                <c:pt idx="352">
                  <c:v>298.40025546513726</c:v>
                </c:pt>
                <c:pt idx="353">
                  <c:v>298.42877014733648</c:v>
                </c:pt>
                <c:pt idx="354">
                  <c:v>298.45677755567124</c:v>
                </c:pt>
                <c:pt idx="355">
                  <c:v>298.48428667956154</c:v>
                </c:pt>
                <c:pt idx="356">
                  <c:v>298.51130635036543</c:v>
                </c:pt>
                <c:pt idx="357">
                  <c:v>298.53784524411253</c:v>
                </c:pt>
                <c:pt idx="358">
                  <c:v>298.56391188419332</c:v>
                </c:pt>
                <c:pt idx="359">
                  <c:v>298.58951464400496</c:v>
                </c:pt>
                <c:pt idx="360">
                  <c:v>298.6146617495499</c:v>
                </c:pt>
                <c:pt idx="361">
                  <c:v>298.63936128199327</c:v>
                </c:pt>
                <c:pt idx="362">
                  <c:v>298.66362118017599</c:v>
                </c:pt>
                <c:pt idx="363">
                  <c:v>298.68744924308567</c:v>
                </c:pt>
                <c:pt idx="364">
                  <c:v>298.71085313228696</c:v>
                </c:pt>
                <c:pt idx="365">
                  <c:v>298.73384037430947</c:v>
                </c:pt>
                <c:pt idx="366">
                  <c:v>298.75641836299474</c:v>
                </c:pt>
                <c:pt idx="367">
                  <c:v>298.77859436180785</c:v>
                </c:pt>
                <c:pt idx="368">
                  <c:v>298.80037550610353</c:v>
                </c:pt>
                <c:pt idx="369">
                  <c:v>298.82176880535945</c:v>
                </c:pt>
                <c:pt idx="370">
                  <c:v>298.84278114536744</c:v>
                </c:pt>
                <c:pt idx="371">
                  <c:v>298.86341929039139</c:v>
                </c:pt>
                <c:pt idx="372">
                  <c:v>298.88368988528549</c:v>
                </c:pt>
                <c:pt idx="373">
                  <c:v>298.90359945757672</c:v>
                </c:pt>
                <c:pt idx="374">
                  <c:v>298.92315441951411</c:v>
                </c:pt>
                <c:pt idx="375">
                  <c:v>298.94236107008101</c:v>
                </c:pt>
                <c:pt idx="376">
                  <c:v>298.96122559697295</c:v>
                </c:pt>
                <c:pt idx="377">
                  <c:v>298.97975407854432</c:v>
                </c:pt>
                <c:pt idx="378">
                  <c:v>298.99795248571684</c:v>
                </c:pt>
                <c:pt idx="379">
                  <c:v>299.01582668386203</c:v>
                </c:pt>
                <c:pt idx="380">
                  <c:v>299.03338243464492</c:v>
                </c:pt>
                <c:pt idx="381">
                  <c:v>299.05062539784075</c:v>
                </c:pt>
                <c:pt idx="382">
                  <c:v>299.06756113311894</c:v>
                </c:pt>
                <c:pt idx="383">
                  <c:v>299.08419510179584</c:v>
                </c:pt>
                <c:pt idx="384">
                  <c:v>299.10053266855851</c:v>
                </c:pt>
                <c:pt idx="385">
                  <c:v>299.11657910315739</c:v>
                </c:pt>
                <c:pt idx="386">
                  <c:v>299.13233958207331</c:v>
                </c:pt>
                <c:pt idx="387">
                  <c:v>299.14781919014985</c:v>
                </c:pt>
                <c:pt idx="388">
                  <c:v>299.16302292220496</c:v>
                </c:pt>
                <c:pt idx="389">
                  <c:v>299.17795568460775</c:v>
                </c:pt>
                <c:pt idx="390">
                  <c:v>299.19262229683318</c:v>
                </c:pt>
                <c:pt idx="391">
                  <c:v>299.20702749298817</c:v>
                </c:pt>
                <c:pt idx="392">
                  <c:v>299.22117592331</c:v>
                </c:pt>
                <c:pt idx="393">
                  <c:v>299.23507215564109</c:v>
                </c:pt>
                <c:pt idx="394">
                  <c:v>299.24872067687795</c:v>
                </c:pt>
                <c:pt idx="395">
                  <c:v>299.26212589439251</c:v>
                </c:pt>
                <c:pt idx="396">
                  <c:v>299.27529213743287</c:v>
                </c:pt>
                <c:pt idx="397">
                  <c:v>299.28822365849601</c:v>
                </c:pt>
                <c:pt idx="398">
                  <c:v>299.30092463467986</c:v>
                </c:pt>
                <c:pt idx="399">
                  <c:v>299.31339916900976</c:v>
                </c:pt>
                <c:pt idx="400">
                  <c:v>299.32565129174293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8-4034-92AD-C5D6AB38E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t (días)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m(t) [kg]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BO"/>
              <a:t>Crecimiento del organismo - Heun vs Exacto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Heun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Organismo_Heun!$B$12:$B$413</c:f>
              <c:numCache>
                <c:formatCode>General</c:formatCode>
                <c:ptCount val="4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xVal>
          <c:yVal>
            <c:numRef>
              <c:f>Organismo_Heun!$C$12:$C$413</c:f>
              <c:numCache>
                <c:formatCode>General</c:formatCode>
                <c:ptCount val="402"/>
                <c:pt idx="0">
                  <c:v>1</c:v>
                </c:pt>
                <c:pt idx="1">
                  <c:v>1.2446727222323049</c:v>
                </c:pt>
                <c:pt idx="2">
                  <c:v>1.5263738070417325</c:v>
                </c:pt>
                <c:pt idx="3">
                  <c:v>1.8472958714804664</c:v>
                </c:pt>
                <c:pt idx="4">
                  <c:v>2.2094727007784782</c:v>
                </c:pt>
                <c:pt idx="5">
                  <c:v>2.6147727309086681</c:v>
                </c:pt>
                <c:pt idx="6">
                  <c:v>3.0648947161052296</c:v>
                </c:pt>
                <c:pt idx="7">
                  <c:v>3.5613653050951228</c:v>
                </c:pt>
                <c:pt idx="8">
                  <c:v>4.1055382770870432</c:v>
                </c:pt>
                <c:pt idx="9">
                  <c:v>4.6985952134053441</c:v>
                </c:pt>
                <c:pt idx="10">
                  <c:v>5.3415474032751025</c:v>
                </c:pt>
                <c:pt idx="11">
                  <c:v>6.0352388028543462</c:v>
                </c:pt>
                <c:pt idx="12">
                  <c:v>6.7803498853469604</c:v>
                </c:pt>
                <c:pt idx="13">
                  <c:v>7.5774022370749741</c:v>
                </c:pt>
                <c:pt idx="14">
                  <c:v>8.4267637698872697</c:v>
                </c:pt>
                <c:pt idx="15">
                  <c:v>9.3286544343656406</c:v>
                </c:pt>
                <c:pt idx="16">
                  <c:v>10.283152331079544</c:v>
                </c:pt>
                <c:pt idx="17">
                  <c:v>11.290200128748214</c:v>
                </c:pt>
                <c:pt idx="18">
                  <c:v>12.349611708694212</c:v>
                </c:pt>
                <c:pt idx="19">
                  <c:v>13.461078964508419</c:v>
                </c:pt>
                <c:pt idx="20">
                  <c:v>14.624178694477886</c:v>
                </c:pt>
                <c:pt idx="21">
                  <c:v>15.838379532132491</c:v>
                </c:pt>
                <c:pt idx="22">
                  <c:v>17.103048867315383</c:v>
                </c:pt>
                <c:pt idx="23">
                  <c:v>18.417459716541174</c:v>
                </c:pt>
                <c:pt idx="24">
                  <c:v>19.780797507134711</c:v>
                </c:pt>
                <c:pt idx="25">
                  <c:v>21.192166744797227</c:v>
                </c:pt>
                <c:pt idx="26">
                  <c:v>22.65059753887607</c:v>
                </c:pt>
                <c:pt idx="27">
                  <c:v>24.155051963765732</c:v>
                </c:pt>
                <c:pt idx="28">
                  <c:v>25.704430238583619</c:v>
                </c:pt>
                <c:pt idx="29">
                  <c:v>27.297576710583453</c:v>
                </c:pt>
                <c:pt idx="30">
                  <c:v>28.933285630727646</c:v>
                </c:pt>
                <c:pt idx="31">
                  <c:v>30.610306712470692</c:v>
                </c:pt>
                <c:pt idx="32">
                  <c:v>32.327350467138217</c:v>
                </c:pt>
                <c:pt idx="33">
                  <c:v>34.083093311348719</c:v>
                </c:pt>
                <c:pt idx="34">
                  <c:v>35.876182443742181</c:v>
                </c:pt>
                <c:pt idx="35">
                  <c:v>37.705240489874889</c:v>
                </c:pt>
                <c:pt idx="36">
                  <c:v>39.568869915534052</c:v>
                </c:pt>
                <c:pt idx="37">
                  <c:v>41.465657209938321</c:v>
                </c:pt>
                <c:pt idx="38">
                  <c:v>43.394176841339309</c:v>
                </c:pt>
                <c:pt idx="39">
                  <c:v>45.352994988439953</c:v>
                </c:pt>
                <c:pt idx="40">
                  <c:v>47.340673051813738</c:v>
                </c:pt>
                <c:pt idx="41">
                  <c:v>49.355770950157329</c:v>
                </c:pt>
                <c:pt idx="42">
                  <c:v>51.396850206750287</c:v>
                </c:pt>
                <c:pt idx="43">
                  <c:v>53.46247683194094</c:v>
                </c:pt>
                <c:pt idx="44">
                  <c:v>55.551224007836872</c:v>
                </c:pt>
                <c:pt idx="45">
                  <c:v>57.661674581661458</c:v>
                </c:pt>
                <c:pt idx="46">
                  <c:v>59.792423374452611</c:v>
                </c:pt>
                <c:pt idx="47">
                  <c:v>61.942079311934592</c:v>
                </c:pt>
                <c:pt idx="48">
                  <c:v>64.109267384494657</c:v>
                </c:pt>
                <c:pt idx="49">
                  <c:v>66.292630443250374</c:v>
                </c:pt>
                <c:pt idx="50">
                  <c:v>68.49083083920614</c:v>
                </c:pt>
                <c:pt idx="51">
                  <c:v>70.702551912474121</c:v>
                </c:pt>
                <c:pt idx="52">
                  <c:v>72.926499338479644</c:v>
                </c:pt>
                <c:pt idx="53">
                  <c:v>75.161402337989443</c:v>
                </c:pt>
                <c:pt idx="54">
                  <c:v>77.406014757695345</c:v>
                </c:pt>
                <c:pt idx="55">
                  <c:v>79.65911602796109</c:v>
                </c:pt>
                <c:pt idx="56">
                  <c:v>81.919512004197514</c:v>
                </c:pt>
                <c:pt idx="57">
                  <c:v>84.186035698175317</c:v>
                </c:pt>
                <c:pt idx="58">
                  <c:v>86.457547905417243</c:v>
                </c:pt>
                <c:pt idx="59">
                  <c:v>88.732937734634106</c:v>
                </c:pt>
                <c:pt idx="60">
                  <c:v>91.011123044985325</c:v>
                </c:pt>
                <c:pt idx="61">
                  <c:v>93.29105079675459</c:v>
                </c:pt>
                <c:pt idx="62">
                  <c:v>95.57169732083787</c:v>
                </c:pt>
                <c:pt idx="63">
                  <c:v>97.852068512244443</c:v>
                </c:pt>
                <c:pt idx="64">
                  <c:v>100.13119995261437</c:v>
                </c:pt>
                <c:pt idx="65">
                  <c:v>102.40815696655794</c:v>
                </c:pt>
                <c:pt idx="66">
                  <c:v>104.68203461642555</c:v>
                </c:pt>
                <c:pt idx="67">
                  <c:v>106.95195763992103</c:v>
                </c:pt>
                <c:pt idx="68">
                  <c:v>109.21708033477803</c:v>
                </c:pt>
                <c:pt idx="69">
                  <c:v>111.47658639452897</c:v>
                </c:pt>
                <c:pt idx="70">
                  <c:v>113.72968869920865</c:v>
                </c:pt>
                <c:pt idx="71">
                  <c:v>115.97562906465191</c:v>
                </c:pt>
                <c:pt idx="72">
                  <c:v>118.2136779538654</c:v>
                </c:pt>
                <c:pt idx="73">
                  <c:v>120.44313415377934</c:v>
                </c:pt>
                <c:pt idx="74">
                  <c:v>122.66332442051539</c:v>
                </c:pt>
                <c:pt idx="75">
                  <c:v>124.87360309614211</c:v>
                </c:pt>
                <c:pt idx="76">
                  <c:v>127.0733516997298</c:v>
                </c:pt>
                <c:pt idx="77">
                  <c:v>129.26197849536237</c:v>
                </c:pt>
                <c:pt idx="78">
                  <c:v>131.43891803961446</c:v>
                </c:pt>
                <c:pt idx="79">
                  <c:v>133.60363071085885</c:v>
                </c:pt>
                <c:pt idx="80">
                  <c:v>135.75560222263005</c:v>
                </c:pt>
                <c:pt idx="81">
                  <c:v>137.8943431231377</c:v>
                </c:pt>
                <c:pt idx="82">
                  <c:v>140.01938828289508</c:v>
                </c:pt>
                <c:pt idx="83">
                  <c:v>142.13029637230579</c:v>
                </c:pt>
                <c:pt idx="84">
                  <c:v>144.22664933093392</c:v>
                </c:pt>
                <c:pt idx="85">
                  <c:v>146.30805183007149</c:v>
                </c:pt>
                <c:pt idx="86">
                  <c:v>148.37413073010859</c:v>
                </c:pt>
                <c:pt idx="87">
                  <c:v>150.42453453411025</c:v>
                </c:pt>
                <c:pt idx="88">
                  <c:v>152.45893283890564</c:v>
                </c:pt>
                <c:pt idx="89">
                  <c:v>154.47701578490253</c:v>
                </c:pt>
                <c:pt idx="90">
                  <c:v>156.47849350575152</c:v>
                </c:pt>
                <c:pt idx="91">
                  <c:v>158.46309557889973</c:v>
                </c:pt>
                <c:pt idx="92">
                  <c:v>160.43057047799476</c:v>
                </c:pt>
                <c:pt idx="93">
                  <c:v>162.38068502802295</c:v>
                </c:pt>
                <c:pt idx="94">
                  <c:v>164.31322386399464</c:v>
                </c:pt>
                <c:pt idx="95">
                  <c:v>166.22798889392109</c:v>
                </c:pt>
                <c:pt idx="96">
                  <c:v>168.12479876676304</c:v>
                </c:pt>
                <c:pt idx="97">
                  <c:v>170.00348834597031</c:v>
                </c:pt>
                <c:pt idx="98">
                  <c:v>171.86390818917488</c:v>
                </c:pt>
                <c:pt idx="99">
                  <c:v>173.70592403454441</c:v>
                </c:pt>
                <c:pt idx="100">
                  <c:v>175.52941629425408</c:v>
                </c:pt>
                <c:pt idx="101">
                  <c:v>177.33427955548484</c:v>
                </c:pt>
                <c:pt idx="102">
                  <c:v>179.12042208931229</c:v>
                </c:pt>
                <c:pt idx="103">
                  <c:v>180.8877653678073</c:v>
                </c:pt>
                <c:pt idx="104">
                  <c:v>182.63624358963037</c:v>
                </c:pt>
                <c:pt idx="105">
                  <c:v>184.36580321436372</c:v>
                </c:pt>
                <c:pt idx="106">
                  <c:v>186.07640250579121</c:v>
                </c:pt>
                <c:pt idx="107">
                  <c:v>187.7680110843026</c:v>
                </c:pt>
                <c:pt idx="108">
                  <c:v>189.44060948856941</c:v>
                </c:pt>
                <c:pt idx="109">
                  <c:v>191.09418874660997</c:v>
                </c:pt>
                <c:pt idx="110">
                  <c:v>192.7287499563364</c:v>
                </c:pt>
                <c:pt idx="111">
                  <c:v>194.34430387565018</c:v>
                </c:pt>
                <c:pt idx="112">
                  <c:v>195.9408705221316</c:v>
                </c:pt>
                <c:pt idx="113">
                  <c:v>197.51847878234651</c:v>
                </c:pt>
                <c:pt idx="114">
                  <c:v>199.07716603077424</c:v>
                </c:pt>
                <c:pt idx="115">
                  <c:v>200.61697775834341</c:v>
                </c:pt>
                <c:pt idx="116">
                  <c:v>202.13796721054467</c:v>
                </c:pt>
                <c:pt idx="117">
                  <c:v>203.64019503507504</c:v>
                </c:pt>
                <c:pt idx="118">
                  <c:v>205.12372893895414</c:v>
                </c:pt>
                <c:pt idx="119">
                  <c:v>206.58864335504006</c:v>
                </c:pt>
                <c:pt idx="120">
                  <c:v>208.03501911786071</c:v>
                </c:pt>
                <c:pt idx="121">
                  <c:v>209.46294314866626</c:v>
                </c:pt>
                <c:pt idx="122">
                  <c:v>210.87250814959833</c:v>
                </c:pt>
                <c:pt idx="123">
                  <c:v>212.2638123068634</c:v>
                </c:pt>
                <c:pt idx="124">
                  <c:v>213.63695900278944</c:v>
                </c:pt>
                <c:pt idx="125">
                  <c:v>214.99205653663884</c:v>
                </c:pt>
                <c:pt idx="126">
                  <c:v>216.32921785404358</c:v>
                </c:pt>
                <c:pt idx="127">
                  <c:v>217.64856028492358</c:v>
                </c:pt>
                <c:pt idx="128">
                  <c:v>218.95020528974476</c:v>
                </c:pt>
                <c:pt idx="129">
                  <c:v>220.23427821396839</c:v>
                </c:pt>
                <c:pt idx="130">
                  <c:v>221.5009080505406</c:v>
                </c:pt>
                <c:pt idx="131">
                  <c:v>222.75022721026735</c:v>
                </c:pt>
                <c:pt idx="132">
                  <c:v>223.98237129991827</c:v>
                </c:pt>
                <c:pt idx="133">
                  <c:v>225.19747890790023</c:v>
                </c:pt>
                <c:pt idx="134">
                  <c:v>226.39569139734019</c:v>
                </c:pt>
                <c:pt idx="135">
                  <c:v>227.57715270641614</c:v>
                </c:pt>
                <c:pt idx="136">
                  <c:v>228.74200915577345</c:v>
                </c:pt>
                <c:pt idx="137">
                  <c:v>229.89040926286413</c:v>
                </c:pt>
                <c:pt idx="138">
                  <c:v>231.02250356304654</c:v>
                </c:pt>
                <c:pt idx="139">
                  <c:v>232.13844443728252</c:v>
                </c:pt>
                <c:pt idx="140">
                  <c:v>233.23838594627048</c:v>
                </c:pt>
                <c:pt idx="141">
                  <c:v>234.3224836708531</c:v>
                </c:pt>
                <c:pt idx="142">
                  <c:v>235.39089455853926</c:v>
                </c:pt>
                <c:pt idx="143">
                  <c:v>236.4437767759816</c:v>
                </c:pt>
                <c:pt idx="144">
                  <c:v>237.48128956725179</c:v>
                </c:pt>
                <c:pt idx="145">
                  <c:v>238.50359311775779</c:v>
                </c:pt>
                <c:pt idx="146">
                  <c:v>239.5108484236487</c:v>
                </c:pt>
                <c:pt idx="147">
                  <c:v>240.50321716655495</c:v>
                </c:pt>
                <c:pt idx="148">
                  <c:v>241.4808615935134</c:v>
                </c:pt>
                <c:pt idx="149">
                  <c:v>242.44394440192912</c:v>
                </c:pt>
                <c:pt idx="150">
                  <c:v>243.39262862942803</c:v>
                </c:pt>
                <c:pt idx="151">
                  <c:v>244.32707754845651</c:v>
                </c:pt>
                <c:pt idx="152">
                  <c:v>245.24745456548675</c:v>
                </c:pt>
                <c:pt idx="153">
                  <c:v>246.15392312468907</c:v>
                </c:pt>
                <c:pt idx="154">
                  <c:v>247.04664661593486</c:v>
                </c:pt>
                <c:pt idx="155">
                  <c:v>247.92578828699641</c:v>
                </c:pt>
                <c:pt idx="156">
                  <c:v>248.79151115981242</c:v>
                </c:pt>
                <c:pt idx="157">
                  <c:v>249.64397795069075</c:v>
                </c:pt>
                <c:pt idx="158">
                  <c:v>250.48335099432259</c:v>
                </c:pt>
                <c:pt idx="159">
                  <c:v>251.30979217148473</c:v>
                </c:pt>
                <c:pt idx="160">
                  <c:v>252.12346284030966</c:v>
                </c:pt>
                <c:pt idx="161">
                  <c:v>252.92452377100554</c:v>
                </c:pt>
                <c:pt idx="162">
                  <c:v>253.713135083911</c:v>
                </c:pt>
                <c:pt idx="163">
                  <c:v>254.4894561907725</c:v>
                </c:pt>
                <c:pt idx="164">
                  <c:v>255.25364573913427</c:v>
                </c:pt>
                <c:pt idx="165">
                  <c:v>256.005861559734</c:v>
                </c:pt>
                <c:pt idx="166">
                  <c:v>256.74626061679987</c:v>
                </c:pt>
                <c:pt idx="167">
                  <c:v>257.47499896114698</c:v>
                </c:pt>
                <c:pt idx="168">
                  <c:v>258.19223168597409</c:v>
                </c:pt>
                <c:pt idx="169">
                  <c:v>258.89811288526448</c:v>
                </c:pt>
                <c:pt idx="170">
                  <c:v>259.59279561469612</c:v>
                </c:pt>
                <c:pt idx="171">
                  <c:v>260.27643185497021</c:v>
                </c:pt>
                <c:pt idx="172">
                  <c:v>260.94917247746935</c:v>
                </c:pt>
                <c:pt idx="173">
                  <c:v>261.61116721215762</c:v>
                </c:pt>
                <c:pt idx="174">
                  <c:v>262.26256461763984</c:v>
                </c:pt>
                <c:pt idx="175">
                  <c:v>262.90351205329733</c:v>
                </c:pt>
                <c:pt idx="176">
                  <c:v>263.53415565342084</c:v>
                </c:pt>
                <c:pt idx="177">
                  <c:v>264.15464030326388</c:v>
                </c:pt>
                <c:pt idx="178">
                  <c:v>264.76510961694123</c:v>
                </c:pt>
                <c:pt idx="179">
                  <c:v>265.36570591710017</c:v>
                </c:pt>
                <c:pt idx="180">
                  <c:v>265.9565702162937</c:v>
                </c:pt>
                <c:pt idx="181">
                  <c:v>266.53784219998767</c:v>
                </c:pt>
                <c:pt idx="182">
                  <c:v>267.10966021113552</c:v>
                </c:pt>
                <c:pt idx="183">
                  <c:v>267.67216123625593</c:v>
                </c:pt>
                <c:pt idx="184">
                  <c:v>268.22548089295196</c:v>
                </c:pt>
                <c:pt idx="185">
                  <c:v>268.76975341881064</c:v>
                </c:pt>
                <c:pt idx="186">
                  <c:v>269.30511166162495</c:v>
                </c:pt>
                <c:pt idx="187">
                  <c:v>269.83168707088186</c:v>
                </c:pt>
                <c:pt idx="188">
                  <c:v>270.34960969046131</c:v>
                </c:pt>
                <c:pt idx="189">
                  <c:v>270.85900815249363</c:v>
                </c:pt>
                <c:pt idx="190">
                  <c:v>271.360009672324</c:v>
                </c:pt>
                <c:pt idx="191">
                  <c:v>271.85274004453458</c:v>
                </c:pt>
                <c:pt idx="192">
                  <c:v>272.33732363997638</c:v>
                </c:pt>
                <c:pt idx="193">
                  <c:v>272.81388340376446</c:v>
                </c:pt>
                <c:pt idx="194">
                  <c:v>273.28254085419258</c:v>
                </c:pt>
                <c:pt idx="195">
                  <c:v>273.74341608252297</c:v>
                </c:pt>
                <c:pt idx="196">
                  <c:v>274.19662775361076</c:v>
                </c:pt>
                <c:pt idx="197">
                  <c:v>274.6422931073219</c:v>
                </c:pt>
                <c:pt idx="198">
                  <c:v>275.08052796070643</c:v>
                </c:pt>
                <c:pt idx="199">
                  <c:v>275.51144671088929</c:v>
                </c:pt>
                <c:pt idx="200">
                  <c:v>275.93516233864273</c:v>
                </c:pt>
                <c:pt idx="201">
                  <c:v>276.35178641260546</c:v>
                </c:pt>
                <c:pt idx="202">
                  <c:v>276.76142909411499</c:v>
                </c:pt>
                <c:pt idx="203">
                  <c:v>277.16419914262059</c:v>
                </c:pt>
                <c:pt idx="204">
                  <c:v>277.56020392164629</c:v>
                </c:pt>
                <c:pt idx="205">
                  <c:v>277.94954940527327</c:v>
                </c:pt>
                <c:pt idx="206">
                  <c:v>278.33234018511286</c:v>
                </c:pt>
                <c:pt idx="207">
                  <c:v>278.70867947774269</c:v>
                </c:pt>
                <c:pt idx="208">
                  <c:v>279.07866913257902</c:v>
                </c:pt>
                <c:pt idx="209">
                  <c:v>279.4424096401591</c:v>
                </c:pt>
                <c:pt idx="210">
                  <c:v>279.80000014080946</c:v>
                </c:pt>
                <c:pt idx="211">
                  <c:v>280.1515384336758</c:v>
                </c:pt>
                <c:pt idx="212">
                  <c:v>280.49712098609189</c:v>
                </c:pt>
                <c:pt idx="213">
                  <c:v>280.83684294326508</c:v>
                </c:pt>
                <c:pt idx="214">
                  <c:v>281.17079813825785</c:v>
                </c:pt>
                <c:pt idx="215">
                  <c:v>281.49907910224465</c:v>
                </c:pt>
                <c:pt idx="216">
                  <c:v>281.82177707502461</c:v>
                </c:pt>
                <c:pt idx="217">
                  <c:v>282.13898201577172</c:v>
                </c:pt>
                <c:pt idx="218">
                  <c:v>282.45078261400408</c:v>
                </c:pt>
                <c:pt idx="219">
                  <c:v>282.75726630075559</c:v>
                </c:pt>
                <c:pt idx="220">
                  <c:v>283.05851925993289</c:v>
                </c:pt>
                <c:pt idx="221">
                  <c:v>283.35462643984238</c:v>
                </c:pt>
                <c:pt idx="222">
                  <c:v>283.64567156487186</c:v>
                </c:pt>
                <c:pt idx="223">
                  <c:v>283.93173714731239</c:v>
                </c:pt>
                <c:pt idx="224">
                  <c:v>284.21290449930643</c:v>
                </c:pt>
                <c:pt idx="225">
                  <c:v>284.48925374490909</c:v>
                </c:pt>
                <c:pt idx="226">
                  <c:v>284.76086383224964</c:v>
                </c:pt>
                <c:pt idx="227">
                  <c:v>285.02781254578116</c:v>
                </c:pt>
                <c:pt idx="228">
                  <c:v>285.29017651860721</c:v>
                </c:pt>
                <c:pt idx="229">
                  <c:v>285.54803124487353</c:v>
                </c:pt>
                <c:pt idx="230">
                  <c:v>285.80145109221502</c:v>
                </c:pt>
                <c:pt idx="231">
                  <c:v>286.05050931424756</c:v>
                </c:pt>
                <c:pt idx="232">
                  <c:v>286.295278063095</c:v>
                </c:pt>
                <c:pt idx="233">
                  <c:v>286.5358284019423</c:v>
                </c:pt>
                <c:pt idx="234">
                  <c:v>286.77223031760604</c:v>
                </c:pt>
                <c:pt idx="235">
                  <c:v>287.004552733114</c:v>
                </c:pt>
                <c:pt idx="236">
                  <c:v>287.23286352028572</c:v>
                </c:pt>
                <c:pt idx="237">
                  <c:v>287.45722951230687</c:v>
                </c:pt>
                <c:pt idx="238">
                  <c:v>287.67771651628993</c:v>
                </c:pt>
                <c:pt idx="239">
                  <c:v>287.89438932581453</c:v>
                </c:pt>
                <c:pt idx="240">
                  <c:v>288.10731173344112</c:v>
                </c:pt>
                <c:pt idx="241">
                  <c:v>288.31654654319169</c:v>
                </c:pt>
                <c:pt idx="242">
                  <c:v>288.52215558299179</c:v>
                </c:pt>
                <c:pt idx="243">
                  <c:v>288.72419971706853</c:v>
                </c:pt>
                <c:pt idx="244">
                  <c:v>288.92273885829906</c:v>
                </c:pt>
                <c:pt idx="245">
                  <c:v>289.11783198050506</c:v>
                </c:pt>
                <c:pt idx="246">
                  <c:v>289.30953713068828</c:v>
                </c:pt>
                <c:pt idx="247">
                  <c:v>289.4979114412028</c:v>
                </c:pt>
                <c:pt idx="248">
                  <c:v>289.68301114186022</c:v>
                </c:pt>
                <c:pt idx="249">
                  <c:v>289.86489157196354</c:v>
                </c:pt>
                <c:pt idx="250">
                  <c:v>290.04360719226651</c:v>
                </c:pt>
                <c:pt idx="251">
                  <c:v>290.21921159685445</c:v>
                </c:pt>
                <c:pt idx="252">
                  <c:v>290.39175752494418</c:v>
                </c:pt>
                <c:pt idx="253">
                  <c:v>290.56129687259914</c:v>
                </c:pt>
                <c:pt idx="254">
                  <c:v>290.72788070435809</c:v>
                </c:pt>
                <c:pt idx="255">
                  <c:v>290.89155926477343</c:v>
                </c:pt>
                <c:pt idx="256">
                  <c:v>291.05238198985808</c:v>
                </c:pt>
                <c:pt idx="257">
                  <c:v>291.21039751843773</c:v>
                </c:pt>
                <c:pt idx="258">
                  <c:v>291.36565370340679</c:v>
                </c:pt>
                <c:pt idx="259">
                  <c:v>291.51819762288619</c:v>
                </c:pt>
                <c:pt idx="260">
                  <c:v>291.66807559128125</c:v>
                </c:pt>
                <c:pt idx="261">
                  <c:v>291.81533317023781</c:v>
                </c:pt>
                <c:pt idx="262">
                  <c:v>291.96001517949549</c:v>
                </c:pt>
                <c:pt idx="263">
                  <c:v>292.10216570763652</c:v>
                </c:pt>
                <c:pt idx="264">
                  <c:v>292.24182812272909</c:v>
                </c:pt>
                <c:pt idx="265">
                  <c:v>292.37904508286414</c:v>
                </c:pt>
                <c:pt idx="266">
                  <c:v>292.51385854658457</c:v>
                </c:pt>
                <c:pt idx="267">
                  <c:v>292.64630978320599</c:v>
                </c:pt>
                <c:pt idx="268">
                  <c:v>292.77643938302845</c:v>
                </c:pt>
                <c:pt idx="269">
                  <c:v>292.90428726743846</c:v>
                </c:pt>
                <c:pt idx="270">
                  <c:v>293.02989269890082</c:v>
                </c:pt>
                <c:pt idx="271">
                  <c:v>293.15329429083943</c:v>
                </c:pt>
                <c:pt idx="272">
                  <c:v>293.27453001740753</c:v>
                </c:pt>
                <c:pt idx="273">
                  <c:v>293.39363722314613</c:v>
                </c:pt>
                <c:pt idx="274">
                  <c:v>293.5106526325315</c:v>
                </c:pt>
                <c:pt idx="275">
                  <c:v>293.62561235941058</c:v>
                </c:pt>
                <c:pt idx="276">
                  <c:v>293.73855191632504</c:v>
                </c:pt>
                <c:pt idx="277">
                  <c:v>293.84950622372367</c:v>
                </c:pt>
                <c:pt idx="278">
                  <c:v>293.95850961906342</c:v>
                </c:pt>
                <c:pt idx="279">
                  <c:v>294.06559586579891</c:v>
                </c:pt>
                <c:pt idx="280">
                  <c:v>294.17079816226095</c:v>
                </c:pt>
                <c:pt idx="281">
                  <c:v>294.27414915042431</c:v>
                </c:pt>
                <c:pt idx="282">
                  <c:v>294.3756809245649</c:v>
                </c:pt>
                <c:pt idx="283">
                  <c:v>294.47542503980696</c:v>
                </c:pt>
                <c:pt idx="284">
                  <c:v>294.57341252056051</c:v>
                </c:pt>
                <c:pt idx="285">
                  <c:v>294.66967386884949</c:v>
                </c:pt>
                <c:pt idx="286">
                  <c:v>294.76423907253161</c:v>
                </c:pt>
                <c:pt idx="287">
                  <c:v>294.85713761340958</c:v>
                </c:pt>
                <c:pt idx="288">
                  <c:v>294.94839847523514</c:v>
                </c:pt>
                <c:pt idx="289">
                  <c:v>295.03805015160623</c:v>
                </c:pt>
                <c:pt idx="290">
                  <c:v>295.12612065375765</c:v>
                </c:pt>
                <c:pt idx="291">
                  <c:v>295.21263751824642</c:v>
                </c:pt>
                <c:pt idx="292">
                  <c:v>295.29762781453218</c:v>
                </c:pt>
                <c:pt idx="293">
                  <c:v>295.38111815245361</c:v>
                </c:pt>
                <c:pt idx="294">
                  <c:v>295.46313468960142</c:v>
                </c:pt>
                <c:pt idx="295">
                  <c:v>295.54370313858902</c:v>
                </c:pt>
                <c:pt idx="296">
                  <c:v>295.62284877422144</c:v>
                </c:pt>
                <c:pt idx="297">
                  <c:v>295.70059644056323</c:v>
                </c:pt>
                <c:pt idx="298">
                  <c:v>295.77697055790662</c:v>
                </c:pt>
                <c:pt idx="299">
                  <c:v>295.85199512964044</c:v>
                </c:pt>
                <c:pt idx="300">
                  <c:v>295.92569374902081</c:v>
                </c:pt>
                <c:pt idx="301">
                  <c:v>295.99808960584454</c:v>
                </c:pt>
                <c:pt idx="302">
                  <c:v>296.06920549302623</c:v>
                </c:pt>
                <c:pt idx="303">
                  <c:v>296.13906381307959</c:v>
                </c:pt>
                <c:pt idx="304">
                  <c:v>296.20768658450464</c:v>
                </c:pt>
                <c:pt idx="305">
                  <c:v>296.27509544808095</c:v>
                </c:pt>
                <c:pt idx="306">
                  <c:v>296.34131167306856</c:v>
                </c:pt>
                <c:pt idx="307">
                  <c:v>296.40635616331701</c:v>
                </c:pt>
                <c:pt idx="308">
                  <c:v>296.47024946328378</c:v>
                </c:pt>
                <c:pt idx="309">
                  <c:v>296.53301176396309</c:v>
                </c:pt>
                <c:pt idx="310">
                  <c:v>296.59466290872587</c:v>
                </c:pt>
                <c:pt idx="311">
                  <c:v>296.65522239907204</c:v>
                </c:pt>
                <c:pt idx="312">
                  <c:v>296.71470940029599</c:v>
                </c:pt>
                <c:pt idx="313">
                  <c:v>296.7731427470664</c:v>
                </c:pt>
                <c:pt idx="314">
                  <c:v>296.83054094892117</c:v>
                </c:pt>
                <c:pt idx="315">
                  <c:v>296.88692219567872</c:v>
                </c:pt>
                <c:pt idx="316">
                  <c:v>296.94230436276638</c:v>
                </c:pt>
                <c:pt idx="317">
                  <c:v>296.9967050164671</c:v>
                </c:pt>
                <c:pt idx="318">
                  <c:v>297.05014141908526</c:v>
                </c:pt>
                <c:pt idx="319">
                  <c:v>297.10263053403293</c:v>
                </c:pt>
                <c:pt idx="320">
                  <c:v>297.1541890308369</c:v>
                </c:pt>
                <c:pt idx="321">
                  <c:v>297.20483329006834</c:v>
                </c:pt>
                <c:pt idx="322">
                  <c:v>297.25457940819541</c:v>
                </c:pt>
                <c:pt idx="323">
                  <c:v>297.30344320235992</c:v>
                </c:pt>
                <c:pt idx="324">
                  <c:v>297.35144021507932</c:v>
                </c:pt>
                <c:pt idx="325">
                  <c:v>297.3985857188747</c:v>
                </c:pt>
                <c:pt idx="326">
                  <c:v>297.44489472082569</c:v>
                </c:pt>
                <c:pt idx="327">
                  <c:v>297.49038196705374</c:v>
                </c:pt>
                <c:pt idx="328">
                  <c:v>297.53506194713401</c:v>
                </c:pt>
                <c:pt idx="329">
                  <c:v>297.57894889843749</c:v>
                </c:pt>
                <c:pt idx="330">
                  <c:v>297.62205681040376</c:v>
                </c:pt>
                <c:pt idx="331">
                  <c:v>297.66439942874575</c:v>
                </c:pt>
                <c:pt idx="332">
                  <c:v>297.70599025958717</c:v>
                </c:pt>
                <c:pt idx="333">
                  <c:v>297.74684257353368</c:v>
                </c:pt>
                <c:pt idx="334">
                  <c:v>297.78696940967842</c:v>
                </c:pt>
                <c:pt idx="335">
                  <c:v>297.82638357954346</c:v>
                </c:pt>
                <c:pt idx="336">
                  <c:v>297.86509767095725</c:v>
                </c:pt>
                <c:pt idx="337">
                  <c:v>297.90312405186978</c:v>
                </c:pt>
                <c:pt idx="338">
                  <c:v>297.94047487410552</c:v>
                </c:pt>
                <c:pt idx="339">
                  <c:v>297.97716207705577</c:v>
                </c:pt>
                <c:pt idx="340">
                  <c:v>298.01319739131077</c:v>
                </c:pt>
                <c:pt idx="341">
                  <c:v>298.04859234223284</c:v>
                </c:pt>
                <c:pt idx="342">
                  <c:v>298.08335825347098</c:v>
                </c:pt>
                <c:pt idx="343">
                  <c:v>298.11750625041799</c:v>
                </c:pt>
                <c:pt idx="344">
                  <c:v>298.15104726361125</c:v>
                </c:pt>
                <c:pt idx="345">
                  <c:v>298.18399203207736</c:v>
                </c:pt>
                <c:pt idx="346">
                  <c:v>298.21635110662203</c:v>
                </c:pt>
                <c:pt idx="347">
                  <c:v>298.24813485306566</c:v>
                </c:pt>
                <c:pt idx="348">
                  <c:v>298.27935345542568</c:v>
                </c:pt>
                <c:pt idx="349">
                  <c:v>298.31001691904623</c:v>
                </c:pt>
                <c:pt idx="350">
                  <c:v>298.34013507367609</c:v>
                </c:pt>
                <c:pt idx="351">
                  <c:v>298.36971757649576</c:v>
                </c:pt>
                <c:pt idx="352">
                  <c:v>298.39877391509413</c:v>
                </c:pt>
                <c:pt idx="353">
                  <c:v>298.42731341039581</c:v>
                </c:pt>
                <c:pt idx="354">
                  <c:v>298.45534521953971</c:v>
                </c:pt>
                <c:pt idx="355">
                  <c:v>298.48287833870955</c:v>
                </c:pt>
                <c:pt idx="356">
                  <c:v>298.50992160591744</c:v>
                </c:pt>
                <c:pt idx="357">
                  <c:v>298.53648370374071</c:v>
                </c:pt>
                <c:pt idx="358">
                  <c:v>298.562573162013</c:v>
                </c:pt>
                <c:pt idx="359">
                  <c:v>298.58819836047036</c:v>
                </c:pt>
                <c:pt idx="360">
                  <c:v>298.61336753135282</c:v>
                </c:pt>
                <c:pt idx="361">
                  <c:v>298.63808876196254</c:v>
                </c:pt>
                <c:pt idx="362">
                  <c:v>298.66236999717864</c:v>
                </c:pt>
                <c:pt idx="363">
                  <c:v>298.68621904193009</c:v>
                </c:pt>
                <c:pt idx="364">
                  <c:v>298.7096435636264</c:v>
                </c:pt>
                <c:pt idx="365">
                  <c:v>298.73265109454798</c:v>
                </c:pt>
                <c:pt idx="366">
                  <c:v>298.75524903419546</c:v>
                </c:pt>
                <c:pt idx="367">
                  <c:v>298.77744465159981</c:v>
                </c:pt>
                <c:pt idx="368">
                  <c:v>298.79924508759319</c:v>
                </c:pt>
                <c:pt idx="369">
                  <c:v>298.82065735704117</c:v>
                </c:pt>
                <c:pt idx="370">
                  <c:v>298.84168835103736</c:v>
                </c:pt>
                <c:pt idx="371">
                  <c:v>298.86234483906065</c:v>
                </c:pt>
                <c:pt idx="372">
                  <c:v>298.88263347109591</c:v>
                </c:pt>
                <c:pt idx="373">
                  <c:v>298.90256077971839</c:v>
                </c:pt>
                <c:pt idx="374">
                  <c:v>298.92213318214289</c:v>
                </c:pt>
                <c:pt idx="375">
                  <c:v>298.94135698223789</c:v>
                </c:pt>
                <c:pt idx="376">
                  <c:v>298.96023837250544</c:v>
                </c:pt>
                <c:pt idx="377">
                  <c:v>298.97878343602707</c:v>
                </c:pt>
                <c:pt idx="378">
                  <c:v>298.99699814837669</c:v>
                </c:pt>
                <c:pt idx="379">
                  <c:v>299.01488837950058</c:v>
                </c:pt>
                <c:pt idx="380">
                  <c:v>299.03245989556535</c:v>
                </c:pt>
                <c:pt idx="381">
                  <c:v>299.04971836077425</c:v>
                </c:pt>
                <c:pt idx="382">
                  <c:v>299.06666933915221</c:v>
                </c:pt>
                <c:pt idx="383">
                  <c:v>299.08331829630049</c:v>
                </c:pt>
                <c:pt idx="384">
                  <c:v>299.09967060112098</c:v>
                </c:pt>
                <c:pt idx="385">
                  <c:v>299.11573152751112</c:v>
                </c:pt>
                <c:pt idx="386">
                  <c:v>299.13150625602941</c:v>
                </c:pt>
                <c:pt idx="387">
                  <c:v>299.14699987553257</c:v>
                </c:pt>
                <c:pt idx="388">
                  <c:v>299.16221738478424</c:v>
                </c:pt>
                <c:pt idx="389">
                  <c:v>299.17716369403621</c:v>
                </c:pt>
                <c:pt idx="390">
                  <c:v>299.19184362658217</c:v>
                </c:pt>
                <c:pt idx="391">
                  <c:v>299.20626192028487</c:v>
                </c:pt>
                <c:pt idx="392">
                  <c:v>299.22042322907674</c:v>
                </c:pt>
                <c:pt idx="393">
                  <c:v>299.23433212443479</c:v>
                </c:pt>
                <c:pt idx="394">
                  <c:v>299.24799309682982</c:v>
                </c:pt>
                <c:pt idx="395">
                  <c:v>299.26141055715061</c:v>
                </c:pt>
                <c:pt idx="396">
                  <c:v>299.27458883810368</c:v>
                </c:pt>
                <c:pt idx="397">
                  <c:v>299.28753219558854</c:v>
                </c:pt>
                <c:pt idx="398">
                  <c:v>299.30024481004921</c:v>
                </c:pt>
                <c:pt idx="399">
                  <c:v>299.31273078780237</c:v>
                </c:pt>
                <c:pt idx="400">
                  <c:v>299.32499416234248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34-47AA-B79A-BE846C3C9248}"/>
            </c:ext>
          </c:extLst>
        </c:ser>
        <c:ser>
          <c:idx val="1"/>
          <c:order val="1"/>
          <c:tx>
            <c:v>Exacto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Organismo_Heun!$B$12:$B$413</c:f>
              <c:numCache>
                <c:formatCode>General</c:formatCode>
                <c:ptCount val="4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xVal>
          <c:yVal>
            <c:numRef>
              <c:f>Organismo_Heun!$G$12:$G$413</c:f>
              <c:numCache>
                <c:formatCode>General</c:formatCode>
                <c:ptCount val="402"/>
                <c:pt idx="0">
                  <c:v>1</c:v>
                </c:pt>
                <c:pt idx="1">
                  <c:v>1.2457369067122488</c:v>
                </c:pt>
                <c:pt idx="2">
                  <c:v>1.5286485939791952</c:v>
                </c:pt>
                <c:pt idx="3">
                  <c:v>1.8509187928172961</c:v>
                </c:pt>
                <c:pt idx="4">
                  <c:v>2.2145716888045168</c:v>
                </c:pt>
                <c:pt idx="5">
                  <c:v>2.621465641911616</c:v>
                </c:pt>
                <c:pt idx="6">
                  <c:v>3.0732890506996648</c:v>
                </c:pt>
                <c:pt idx="7">
                  <c:v>3.571558090880552</c:v>
                </c:pt>
                <c:pt idx="8">
                  <c:v>4.1176160845258813</c:v>
                </c:pt>
                <c:pt idx="9">
                  <c:v>4.7126342802333445</c:v>
                </c:pt>
                <c:pt idx="10">
                  <c:v>5.3576138464997243</c:v>
                </c:pt>
                <c:pt idx="11">
                  <c:v>6.0533889005751584</c:v>
                </c:pt>
                <c:pt idx="12">
                  <c:v>6.8006304133379958</c:v>
                </c:pt>
                <c:pt idx="13">
                  <c:v>7.5998508473779669</c:v>
                </c:pt>
                <c:pt idx="14">
                  <c:v>8.4514094006380613</c:v>
                </c:pt>
                <c:pt idx="15">
                  <c:v>9.3555177417655226</c:v>
                </c:pt>
                <c:pt idx="16">
                  <c:v>10.312246135870794</c:v>
                </c:pt>
                <c:pt idx="17">
                  <c:v>11.32152987079475</c:v>
                </c:pt>
                <c:pt idx="18">
                  <c:v>12.38317590433323</c:v>
                </c:pt>
                <c:pt idx="19">
                  <c:v>13.496869662252982</c:v>
                </c:pt>
                <c:pt idx="20">
                  <c:v>14.66218192543435</c:v>
                </c:pt>
                <c:pt idx="21">
                  <c:v>15.878575752169015</c:v>
                </c:pt>
                <c:pt idx="22">
                  <c:v>17.145413388593727</c:v>
                </c:pt>
                <c:pt idx="23">
                  <c:v>18.461963126516665</c:v>
                </c:pt>
                <c:pt idx="24">
                  <c:v>19.827406073550513</c:v>
                </c:pt>
                <c:pt idx="25">
                  <c:v>21.240842805557648</c:v>
                </c:pt>
                <c:pt idx="26">
                  <c:v>22.701299875989246</c:v>
                </c:pt>
                <c:pt idx="27">
                  <c:v>24.207736160804689</c:v>
                </c:pt>
                <c:pt idx="28">
                  <c:v>25.759049021333389</c:v>
                </c:pt>
                <c:pt idx="29">
                  <c:v>27.354080270725802</c:v>
                </c:pt>
                <c:pt idx="30">
                  <c:v>28.991621932568869</c:v>
                </c:pt>
                <c:pt idx="31">
                  <c:v>30.670421782845811</c:v>
                </c:pt>
                <c:pt idx="32">
                  <c:v>32.389188668730313</c:v>
                </c:pt>
                <c:pt idx="33">
                  <c:v>34.146597599748063</c:v>
                </c:pt>
                <c:pt idx="34">
                  <c:v>35.941294608639659</c:v>
                </c:pt>
                <c:pt idx="35">
                  <c:v>37.771901380838671</c:v>
                </c:pt>
                <c:pt idx="36">
                  <c:v>39.63701965286176</c:v>
                </c:pt>
                <c:pt idx="37">
                  <c:v>41.535235381108961</c:v>
                </c:pt>
                <c:pt idx="38">
                  <c:v>43.465122683611796</c:v>
                </c:pt>
                <c:pt idx="39">
                  <c:v>45.425247558162049</c:v>
                </c:pt>
                <c:pt idx="40">
                  <c:v>47.414171381012579</c:v>
                </c:pt>
                <c:pt idx="41">
                  <c:v>49.430454190987213</c:v>
                </c:pt>
                <c:pt idx="42">
                  <c:v>51.472657764372279</c:v>
                </c:pt>
                <c:pt idx="43">
                  <c:v>53.539348486403277</c:v>
                </c:pt>
                <c:pt idx="44">
                  <c:v>55.629100025517815</c:v>
                </c:pt>
                <c:pt idx="45">
                  <c:v>57.740495816825103</c:v>
                </c:pt>
                <c:pt idx="46">
                  <c:v>59.87213136145516</c:v>
                </c:pt>
                <c:pt idx="47">
                  <c:v>62.022616348604565</c:v>
                </c:pt>
                <c:pt idx="48">
                  <c:v>64.190576607194032</c:v>
                </c:pt>
                <c:pt idx="49">
                  <c:v>66.374655894107804</c:v>
                </c:pt>
                <c:pt idx="50">
                  <c:v>68.573517525994632</c:v>
                </c:pt>
                <c:pt idx="51">
                  <c:v>70.785845861588285</c:v>
                </c:pt>
                <c:pt idx="52">
                  <c:v>73.010347641449798</c:v>
                </c:pt>
                <c:pt idx="53">
                  <c:v>75.245753191949689</c:v>
                </c:pt>
                <c:pt idx="54">
                  <c:v>77.490817500206362</c:v>
                </c:pt>
                <c:pt idx="55">
                  <c:v>79.744321166568781</c:v>
                </c:pt>
                <c:pt idx="56">
                  <c:v>82.005071241090803</c:v>
                </c:pt>
                <c:pt idx="57">
                  <c:v>84.271901950289362</c:v>
                </c:pt>
                <c:pt idx="58">
                  <c:v>86.5436753203102</c:v>
                </c:pt>
                <c:pt idx="59">
                  <c:v>88.819281702448691</c:v>
                </c:pt>
                <c:pt idx="60">
                  <c:v>91.097640206791141</c:v>
                </c:pt>
                <c:pt idx="61">
                  <c:v>93.377699049549577</c:v>
                </c:pt>
                <c:pt idx="62">
                  <c:v>95.65843581947334</c:v>
                </c:pt>
                <c:pt idx="63">
                  <c:v>97.938857668522829</c:v>
                </c:pt>
                <c:pt idx="64">
                  <c:v>100.21800143179351</c:v>
                </c:pt>
                <c:pt idx="65">
                  <c:v>102.49493368148504</c:v>
                </c:pt>
                <c:pt idx="66">
                  <c:v>104.76875071950661</c:v>
                </c:pt>
                <c:pt idx="67">
                  <c:v>107.03857851312314</c:v>
                </c:pt>
                <c:pt idx="68">
                  <c:v>109.30357257784695</c:v>
                </c:pt>
                <c:pt idx="69">
                  <c:v>111.56291781159464</c:v>
                </c:pt>
                <c:pt idx="70">
                  <c:v>113.81582828393958</c:v>
                </c:pt>
                <c:pt idx="71">
                  <c:v>116.06154698410982</c:v>
                </c:pt>
                <c:pt idx="72">
                  <c:v>118.29934553120046</c:v>
                </c:pt>
                <c:pt idx="73">
                  <c:v>120.52852384989838</c:v>
                </c:pt>
                <c:pt idx="74">
                  <c:v>122.74840981484554</c:v>
                </c:pt>
                <c:pt idx="75">
                  <c:v>124.95835886660417</c:v>
                </c:pt>
                <c:pt idx="76">
                  <c:v>127.15775360202839</c:v>
                </c:pt>
                <c:pt idx="77">
                  <c:v>129.34600334169133</c:v>
                </c:pt>
                <c:pt idx="78">
                  <c:v>131.52254367686962</c:v>
                </c:pt>
                <c:pt idx="79">
                  <c:v>133.68683599844303</c:v>
                </c:pt>
                <c:pt idx="80">
                  <c:v>135.83836700992967</c:v>
                </c:pt>
                <c:pt idx="81">
                  <c:v>137.97664822674338</c:v>
                </c:pt>
                <c:pt idx="82">
                  <c:v>140.10121546363385</c:v>
                </c:pt>
                <c:pt idx="83">
                  <c:v>142.21162831214679</c:v>
                </c:pt>
                <c:pt idx="84">
                  <c:v>144.30746960982441</c:v>
                </c:pt>
                <c:pt idx="85">
                  <c:v>146.38834490275579</c:v>
                </c:pt>
                <c:pt idx="86">
                  <c:v>148.45388190297814</c:v>
                </c:pt>
                <c:pt idx="87">
                  <c:v>150.50372994212802</c:v>
                </c:pt>
                <c:pt idx="88">
                  <c:v>152.53755942264576</c:v>
                </c:pt>
                <c:pt idx="89">
                  <c:v>154.5550612677408</c:v>
                </c:pt>
                <c:pt idx="90">
                  <c:v>156.55594637124022</c:v>
                </c:pt>
                <c:pt idx="91">
                  <c:v>158.53994504835671</c:v>
                </c:pt>
                <c:pt idx="92">
                  <c:v>160.50680648833381</c:v>
                </c:pt>
                <c:pt idx="93">
                  <c:v>162.45629820984928</c:v>
                </c:pt>
                <c:pt idx="94">
                  <c:v>164.38820551998725</c:v>
                </c:pt>
                <c:pt idx="95">
                  <c:v>166.30233097752151</c:v>
                </c:pt>
                <c:pt idx="96">
                  <c:v>168.19849386118747</c:v>
                </c:pt>
                <c:pt idx="97">
                  <c:v>170.0765296435597</c:v>
                </c:pt>
                <c:pt idx="98">
                  <c:v>171.93628947109625</c:v>
                </c:pt>
                <c:pt idx="99">
                  <c:v>173.77763965085461</c:v>
                </c:pt>
                <c:pt idx="100">
                  <c:v>175.60046114433572</c:v>
                </c:pt>
                <c:pt idx="101">
                  <c:v>177.40464906886208</c:v>
                </c:pt>
                <c:pt idx="102">
                  <c:v>179.1901122068536</c:v>
                </c:pt>
                <c:pt idx="103">
                  <c:v>180.9567725233197</c:v>
                </c:pt>
                <c:pt idx="104">
                  <c:v>182.70456469185032</c:v>
                </c:pt>
                <c:pt idx="105">
                  <c:v>184.43343562934675</c:v>
                </c:pt>
                <c:pt idx="106">
                  <c:v>186.14334403970292</c:v>
                </c:pt>
                <c:pt idx="107">
                  <c:v>187.83425996661126</c:v>
                </c:pt>
                <c:pt idx="108">
                  <c:v>189.50616435564092</c:v>
                </c:pt>
                <c:pt idx="109">
                  <c:v>191.1590486257048</c:v>
                </c:pt>
                <c:pt idx="110">
                  <c:v>192.79291425000602</c:v>
                </c:pt>
                <c:pt idx="111">
                  <c:v>194.40777234653211</c:v>
                </c:pt>
                <c:pt idx="112">
                  <c:v>196.00364327814009</c:v>
                </c:pt>
                <c:pt idx="113">
                  <c:v>197.58055626225504</c:v>
                </c:pt>
                <c:pt idx="114">
                  <c:v>199.13854899018725</c:v>
                </c:pt>
                <c:pt idx="115">
                  <c:v>200.67766725605287</c:v>
                </c:pt>
                <c:pt idx="116">
                  <c:v>202.19796459526572</c:v>
                </c:pt>
                <c:pt idx="117">
                  <c:v>203.69950193255815</c:v>
                </c:pt>
                <c:pt idx="118">
                  <c:v>205.18234723946659</c:v>
                </c:pt>
                <c:pt idx="119">
                  <c:v>206.6465752012125</c:v>
                </c:pt>
                <c:pt idx="120">
                  <c:v>208.09226689289264</c:v>
                </c:pt>
                <c:pt idx="121">
                  <c:v>209.51950946488407</c:v>
                </c:pt>
                <c:pt idx="122">
                  <c:v>210.92839583736139</c:v>
                </c:pt>
                <c:pt idx="123">
                  <c:v>212.31902440380989</c:v>
                </c:pt>
                <c:pt idx="124">
                  <c:v>213.69149874341738</c:v>
                </c:pt>
                <c:pt idx="125">
                  <c:v>215.04592734221467</c:v>
                </c:pt>
                <c:pt idx="126">
                  <c:v>216.38242332283184</c:v>
                </c:pt>
                <c:pt idx="127">
                  <c:v>217.70110418273225</c:v>
                </c:pt>
                <c:pt idx="128">
                  <c:v>219.00209154077746</c:v>
                </c:pt>
                <c:pt idx="129">
                  <c:v>220.28551089197921</c:v>
                </c:pt>
                <c:pt idx="130">
                  <c:v>221.55149137028241</c:v>
                </c:pt>
                <c:pt idx="131">
                  <c:v>222.80016551922861</c:v>
                </c:pt>
                <c:pt idx="132">
                  <c:v>224.03166907034145</c:v>
                </c:pt>
                <c:pt idx="133">
                  <c:v>225.24614072907372</c:v>
                </c:pt>
                <c:pt idx="134">
                  <c:v>226.44372196815863</c:v>
                </c:pt>
                <c:pt idx="135">
                  <c:v>227.62455682820234</c:v>
                </c:pt>
                <c:pt idx="136">
                  <c:v>228.78879172535426</c:v>
                </c:pt>
                <c:pt idx="137">
                  <c:v>229.93657526589476</c:v>
                </c:pt>
                <c:pt idx="138">
                  <c:v>231.06805806757654</c:v>
                </c:pt>
                <c:pt idx="139">
                  <c:v>232.18339258755756</c:v>
                </c:pt>
                <c:pt idx="140">
                  <c:v>233.2827329567624</c:v>
                </c:pt>
                <c:pt idx="141">
                  <c:v>234.36623482051343</c:v>
                </c:pt>
                <c:pt idx="142">
                  <c:v>235.4340551852691</c:v>
                </c:pt>
                <c:pt idx="143">
                  <c:v>236.48635227131291</c:v>
                </c:pt>
                <c:pt idx="144">
                  <c:v>237.52328537123222</c:v>
                </c:pt>
                <c:pt idx="145">
                  <c:v>238.54501471403594</c:v>
                </c:pt>
                <c:pt idx="146">
                  <c:v>239.55170133475167</c:v>
                </c:pt>
                <c:pt idx="147">
                  <c:v>240.54350694935377</c:v>
                </c:pt>
                <c:pt idx="148">
                  <c:v>241.52059383487054</c:v>
                </c:pt>
                <c:pt idx="149">
                  <c:v>242.48312471452289</c:v>
                </c:pt>
                <c:pt idx="150">
                  <c:v>243.43126264774835</c:v>
                </c:pt>
                <c:pt idx="151">
                  <c:v>244.36517092496643</c:v>
                </c:pt>
                <c:pt idx="152">
                  <c:v>245.28501296694603</c:v>
                </c:pt>
                <c:pt idx="153">
                  <c:v>246.19095222863291</c:v>
                </c:pt>
                <c:pt idx="154">
                  <c:v>247.08315210730473</c:v>
                </c:pt>
                <c:pt idx="155">
                  <c:v>247.96177585491682</c:v>
                </c:pt>
                <c:pt idx="156">
                  <c:v>248.8269864945099</c:v>
                </c:pt>
                <c:pt idx="157">
                  <c:v>249.67894674055054</c:v>
                </c:pt>
                <c:pt idx="158">
                  <c:v>250.51781892307744</c:v>
                </c:pt>
                <c:pt idx="159">
                  <c:v>251.34376491553303</c:v>
                </c:pt>
                <c:pt idx="160">
                  <c:v>252.15694606615767</c:v>
                </c:pt>
                <c:pt idx="161">
                  <c:v>252.95752313283006</c:v>
                </c:pt>
                <c:pt idx="162">
                  <c:v>253.74565622123831</c:v>
                </c:pt>
                <c:pt idx="163">
                  <c:v>254.52150472626957</c:v>
                </c:pt>
                <c:pt idx="164">
                  <c:v>255.28522727650852</c:v>
                </c:pt>
                <c:pt idx="165">
                  <c:v>256.03698168173878</c:v>
                </c:pt>
                <c:pt idx="166">
                  <c:v>256.77692488333969</c:v>
                </c:pt>
                <c:pt idx="167">
                  <c:v>257.50521290748208</c:v>
                </c:pt>
                <c:pt idx="168">
                  <c:v>258.22200082101841</c:v>
                </c:pt>
                <c:pt idx="169">
                  <c:v>258.92744268997535</c:v>
                </c:pt>
                <c:pt idx="170">
                  <c:v>259.62169154055141</c:v>
                </c:pt>
                <c:pt idx="171">
                  <c:v>260.3048993225301</c:v>
                </c:pt>
                <c:pt idx="172">
                  <c:v>260.97721687502064</c:v>
                </c:pt>
                <c:pt idx="173">
                  <c:v>261.63879389443525</c:v>
                </c:pt>
                <c:pt idx="174">
                  <c:v>262.28977890462568</c:v>
                </c:pt>
                <c:pt idx="175">
                  <c:v>262.93031922909188</c:v>
                </c:pt>
                <c:pt idx="176">
                  <c:v>263.56056096518438</c:v>
                </c:pt>
                <c:pt idx="177">
                  <c:v>264.18064896022611</c:v>
                </c:pt>
                <c:pt idx="178">
                  <c:v>264.79072678947631</c:v>
                </c:pt>
                <c:pt idx="179">
                  <c:v>265.39093673586342</c:v>
                </c:pt>
                <c:pt idx="180">
                  <c:v>265.98141977142052</c:v>
                </c:pt>
                <c:pt idx="181">
                  <c:v>266.56231554034815</c:v>
                </c:pt>
                <c:pt idx="182">
                  <c:v>267.13376234364677</c:v>
                </c:pt>
                <c:pt idx="183">
                  <c:v>267.69589712524726</c:v>
                </c:pt>
                <c:pt idx="184">
                  <c:v>268.24885545958125</c:v>
                </c:pt>
                <c:pt idx="185">
                  <c:v>268.79277154053068</c:v>
                </c:pt>
                <c:pt idx="186">
                  <c:v>269.32777817169688</c:v>
                </c:pt>
                <c:pt idx="187">
                  <c:v>269.85400675793454</c:v>
                </c:pt>
                <c:pt idx="188">
                  <c:v>270.37158729809374</c:v>
                </c:pt>
                <c:pt idx="189">
                  <c:v>270.88064837892011</c:v>
                </c:pt>
                <c:pt idx="190">
                  <c:v>271.38131717005876</c:v>
                </c:pt>
                <c:pt idx="191">
                  <c:v>271.87371942011544</c:v>
                </c:pt>
                <c:pt idx="192">
                  <c:v>272.35797945372423</c:v>
                </c:pt>
                <c:pt idx="193">
                  <c:v>272.83422016957974</c:v>
                </c:pt>
                <c:pt idx="194">
                  <c:v>273.30256303938319</c:v>
                </c:pt>
                <c:pt idx="195">
                  <c:v>273.76312810766751</c:v>
                </c:pt>
                <c:pt idx="196">
                  <c:v>274.2160339924493</c:v>
                </c:pt>
                <c:pt idx="197">
                  <c:v>274.66139788667908</c:v>
                </c:pt>
                <c:pt idx="198">
                  <c:v>275.09933556044092</c:v>
                </c:pt>
                <c:pt idx="199">
                  <c:v>275.52996136387031</c:v>
                </c:pt>
                <c:pt idx="200">
                  <c:v>275.953388230754</c:v>
                </c:pt>
                <c:pt idx="201">
                  <c:v>276.3697276827711</c:v>
                </c:pt>
                <c:pt idx="202">
                  <c:v>276.77908983435015</c:v>
                </c:pt>
                <c:pt idx="203">
                  <c:v>277.18158339810458</c:v>
                </c:pt>
                <c:pt idx="204">
                  <c:v>277.57731569081568</c:v>
                </c:pt>
                <c:pt idx="205">
                  <c:v>277.96639263993609</c:v>
                </c:pt>
                <c:pt idx="206">
                  <c:v>278.34891879058125</c:v>
                </c:pt>
                <c:pt idx="207">
                  <c:v>278.72499731298473</c:v>
                </c:pt>
                <c:pt idx="208">
                  <c:v>279.09473001038577</c:v>
                </c:pt>
                <c:pt idx="209">
                  <c:v>279.45821732733015</c:v>
                </c:pt>
                <c:pt idx="210">
                  <c:v>279.81555835835269</c:v>
                </c:pt>
                <c:pt idx="211">
                  <c:v>280.1668508570221</c:v>
                </c:pt>
                <c:pt idx="212">
                  <c:v>280.51219124532378</c:v>
                </c:pt>
                <c:pt idx="213">
                  <c:v>280.85167462335795</c:v>
                </c:pt>
                <c:pt idx="214">
                  <c:v>281.18539477933393</c:v>
                </c:pt>
                <c:pt idx="215">
                  <c:v>281.51344419983934</c:v>
                </c:pt>
                <c:pt idx="216">
                  <c:v>281.83591408036153</c:v>
                </c:pt>
                <c:pt idx="217">
                  <c:v>282.15289433605039</c:v>
                </c:pt>
                <c:pt idx="218">
                  <c:v>282.46447361269611</c:v>
                </c:pt>
                <c:pt idx="219">
                  <c:v>282.77073929790993</c:v>
                </c:pt>
                <c:pt idx="220">
                  <c:v>283.07177753248936</c:v>
                </c:pt>
                <c:pt idx="221">
                  <c:v>283.36767322195396</c:v>
                </c:pt>
                <c:pt idx="222">
                  <c:v>283.65851004823298</c:v>
                </c:pt>
                <c:pt idx="223">
                  <c:v>283.94437048149496</c:v>
                </c:pt>
                <c:pt idx="224">
                  <c:v>284.22533579210238</c:v>
                </c:pt>
                <c:pt idx="225">
                  <c:v>284.50148606267777</c:v>
                </c:pt>
                <c:pt idx="226">
                  <c:v>284.77290020027101</c:v>
                </c:pt>
                <c:pt idx="227">
                  <c:v>285.03965594861472</c:v>
                </c:pt>
                <c:pt idx="228">
                  <c:v>285.30182990045427</c:v>
                </c:pt>
                <c:pt idx="229">
                  <c:v>285.55949750994387</c:v>
                </c:pt>
                <c:pt idx="230">
                  <c:v>285.81273310509789</c:v>
                </c:pt>
                <c:pt idx="231">
                  <c:v>286.06160990028548</c:v>
                </c:pt>
                <c:pt idx="232">
                  <c:v>286.30620000876047</c:v>
                </c:pt>
                <c:pt idx="233">
                  <c:v>286.54657445521735</c:v>
                </c:pt>
                <c:pt idx="234">
                  <c:v>286.78280318836426</c:v>
                </c:pt>
                <c:pt idx="235">
                  <c:v>287.01495509350417</c:v>
                </c:pt>
                <c:pt idx="236">
                  <c:v>287.24309800511753</c:v>
                </c:pt>
                <c:pt idx="237">
                  <c:v>287.46729871943791</c:v>
                </c:pt>
                <c:pt idx="238">
                  <c:v>287.68762300701343</c:v>
                </c:pt>
                <c:pt idx="239">
                  <c:v>287.90413562524884</c:v>
                </c:pt>
                <c:pt idx="240">
                  <c:v>288.11690033091929</c:v>
                </c:pt>
                <c:pt idx="241">
                  <c:v>288.32597989265099</c:v>
                </c:pt>
                <c:pt idx="242">
                  <c:v>288.53143610336434</c:v>
                </c:pt>
                <c:pt idx="243">
                  <c:v>288.73332979267138</c:v>
                </c:pt>
                <c:pt idx="244">
                  <c:v>288.93172083922445</c:v>
                </c:pt>
                <c:pt idx="245">
                  <c:v>289.12666818300892</c:v>
                </c:pt>
                <c:pt idx="246">
                  <c:v>289.3182298375803</c:v>
                </c:pt>
                <c:pt idx="247">
                  <c:v>289.50646290223318</c:v>
                </c:pt>
                <c:pt idx="248">
                  <c:v>289.69142357410783</c:v>
                </c:pt>
                <c:pt idx="249">
                  <c:v>289.87316716022139</c:v>
                </c:pt>
                <c:pt idx="250">
                  <c:v>290.05174808942598</c:v>
                </c:pt>
                <c:pt idx="251">
                  <c:v>290.22721992428899</c:v>
                </c:pt>
                <c:pt idx="252">
                  <c:v>290.39963537289088</c:v>
                </c:pt>
                <c:pt idx="253">
                  <c:v>290.56904630053867</c:v>
                </c:pt>
                <c:pt idx="254">
                  <c:v>290.73550374139217</c:v>
                </c:pt>
                <c:pt idx="255">
                  <c:v>290.89905791000189</c:v>
                </c:pt>
                <c:pt idx="256">
                  <c:v>291.05975821275285</c:v>
                </c:pt>
                <c:pt idx="257">
                  <c:v>291.21765325921422</c:v>
                </c:pt>
                <c:pt idx="258">
                  <c:v>291.37279087339419</c:v>
                </c:pt>
                <c:pt idx="259">
                  <c:v>291.5252181048948</c:v>
                </c:pt>
                <c:pt idx="260">
                  <c:v>291.67498123996745</c:v>
                </c:pt>
                <c:pt idx="261">
                  <c:v>291.8221258124666</c:v>
                </c:pt>
                <c:pt idx="262">
                  <c:v>291.96669661470031</c:v>
                </c:pt>
                <c:pt idx="263">
                  <c:v>292.10873770817665</c:v>
                </c:pt>
                <c:pt idx="264">
                  <c:v>292.24829243424449</c:v>
                </c:pt>
                <c:pt idx="265">
                  <c:v>292.38540342462716</c:v>
                </c:pt>
                <c:pt idx="266">
                  <c:v>292.52011261184862</c:v>
                </c:pt>
                <c:pt idx="267">
                  <c:v>292.65246123955205</c:v>
                </c:pt>
                <c:pt idx="268">
                  <c:v>292.78248987270837</c:v>
                </c:pt>
                <c:pt idx="269">
                  <c:v>292.91023840771533</c:v>
                </c:pt>
                <c:pt idx="270">
                  <c:v>293.0357460823858</c:v>
                </c:pt>
                <c:pt idx="271">
                  <c:v>293.15905148582652</c:v>
                </c:pt>
                <c:pt idx="272">
                  <c:v>293.28019256820471</c:v>
                </c:pt>
                <c:pt idx="273">
                  <c:v>293.39920665040302</c:v>
                </c:pt>
                <c:pt idx="274">
                  <c:v>293.51613043356451</c:v>
                </c:pt>
                <c:pt idx="275">
                  <c:v>293.63100000852501</c:v>
                </c:pt>
                <c:pt idx="276">
                  <c:v>293.74385086513325</c:v>
                </c:pt>
                <c:pt idx="277">
                  <c:v>293.8547179014613</c:v>
                </c:pt>
                <c:pt idx="278">
                  <c:v>293.96363543290073</c:v>
                </c:pt>
                <c:pt idx="279">
                  <c:v>294.07063720115025</c:v>
                </c:pt>
                <c:pt idx="280">
                  <c:v>294.1757563830904</c:v>
                </c:pt>
                <c:pt idx="281">
                  <c:v>294.27902559954867</c:v>
                </c:pt>
                <c:pt idx="282">
                  <c:v>294.38047692395259</c:v>
                </c:pt>
                <c:pt idx="283">
                  <c:v>294.48014189087411</c:v>
                </c:pt>
                <c:pt idx="284">
                  <c:v>294.57805150446399</c:v>
                </c:pt>
                <c:pt idx="285">
                  <c:v>294.67423624677656</c:v>
                </c:pt>
                <c:pt idx="286">
                  <c:v>294.76872608598569</c:v>
                </c:pt>
                <c:pt idx="287">
                  <c:v>294.86155048449365</c:v>
                </c:pt>
                <c:pt idx="288">
                  <c:v>294.95273840693216</c:v>
                </c:pt>
                <c:pt idx="289">
                  <c:v>295.04231832805465</c:v>
                </c:pt>
                <c:pt idx="290">
                  <c:v>295.13031824052581</c:v>
                </c:pt>
                <c:pt idx="291">
                  <c:v>295.21676566260169</c:v>
                </c:pt>
                <c:pt idx="292">
                  <c:v>295.30168764570863</c:v>
                </c:pt>
                <c:pt idx="293">
                  <c:v>295.38511078191596</c:v>
                </c:pt>
                <c:pt idx="294">
                  <c:v>295.4670612113045</c:v>
                </c:pt>
                <c:pt idx="295">
                  <c:v>295.54756462923609</c:v>
                </c:pt>
                <c:pt idx="296">
                  <c:v>295.62664629351804</c:v>
                </c:pt>
                <c:pt idx="297">
                  <c:v>295.7043310314686</c:v>
                </c:pt>
                <c:pt idx="298">
                  <c:v>295.78064324688171</c:v>
                </c:pt>
                <c:pt idx="299">
                  <c:v>295.85560692689171</c:v>
                </c:pt>
                <c:pt idx="300">
                  <c:v>295.92924564874346</c:v>
                </c:pt>
                <c:pt idx="301">
                  <c:v>296.00158258646007</c:v>
                </c:pt>
                <c:pt idx="302">
                  <c:v>296.0726405174189</c:v>
                </c:pt>
                <c:pt idx="303">
                  <c:v>296.14244182882834</c:v>
                </c:pt>
                <c:pt idx="304">
                  <c:v>296.2110085241132</c:v>
                </c:pt>
                <c:pt idx="305">
                  <c:v>296.27836222920411</c:v>
                </c:pt>
                <c:pt idx="306">
                  <c:v>296.34452419873628</c:v>
                </c:pt>
                <c:pt idx="307">
                  <c:v>296.40951532215456</c:v>
                </c:pt>
                <c:pt idx="308">
                  <c:v>296.47335612973012</c:v>
                </c:pt>
                <c:pt idx="309">
                  <c:v>296.53606679848502</c:v>
                </c:pt>
                <c:pt idx="310">
                  <c:v>296.59766715803113</c:v>
                </c:pt>
                <c:pt idx="311">
                  <c:v>296.6581766963173</c:v>
                </c:pt>
                <c:pt idx="312">
                  <c:v>296.71761456529418</c:v>
                </c:pt>
                <c:pt idx="313">
                  <c:v>296.77599958648989</c:v>
                </c:pt>
                <c:pt idx="314">
                  <c:v>296.83335025650234</c:v>
                </c:pt>
                <c:pt idx="315">
                  <c:v>296.88968475240853</c:v>
                </c:pt>
                <c:pt idx="316">
                  <c:v>296.94502093708951</c:v>
                </c:pt>
                <c:pt idx="317">
                  <c:v>296.99937636447436</c:v>
                </c:pt>
                <c:pt idx="318">
                  <c:v>297.05276828470403</c:v>
                </c:pt>
                <c:pt idx="319">
                  <c:v>297.10521364921368</c:v>
                </c:pt>
                <c:pt idx="320">
                  <c:v>297.15672911573921</c:v>
                </c:pt>
                <c:pt idx="321">
                  <c:v>297.20733105324172</c:v>
                </c:pt>
                <c:pt idx="322">
                  <c:v>297.25703554675988</c:v>
                </c:pt>
                <c:pt idx="323">
                  <c:v>297.30585840218259</c:v>
                </c:pt>
                <c:pt idx="324">
                  <c:v>297.35381515094929</c:v>
                </c:pt>
                <c:pt idx="325">
                  <c:v>297.40092105467448</c:v>
                </c:pt>
                <c:pt idx="326">
                  <c:v>297.44719110970141</c:v>
                </c:pt>
                <c:pt idx="327">
                  <c:v>297.49264005158238</c:v>
                </c:pt>
                <c:pt idx="328">
                  <c:v>297.53728235948779</c:v>
                </c:pt>
                <c:pt idx="329">
                  <c:v>297.58113226054712</c:v>
                </c:pt>
                <c:pt idx="330">
                  <c:v>297.62420373411732</c:v>
                </c:pt>
                <c:pt idx="331">
                  <c:v>297.66651051598762</c:v>
                </c:pt>
                <c:pt idx="332">
                  <c:v>297.70806610251265</c:v>
                </c:pt>
                <c:pt idx="333">
                  <c:v>297.74888375468333</c:v>
                </c:pt>
                <c:pt idx="334">
                  <c:v>297.78897650212781</c:v>
                </c:pt>
                <c:pt idx="335">
                  <c:v>297.82835714705277</c:v>
                </c:pt>
                <c:pt idx="336">
                  <c:v>297.8670382681176</c:v>
                </c:pt>
                <c:pt idx="337">
                  <c:v>297.90503222424815</c:v>
                </c:pt>
                <c:pt idx="338">
                  <c:v>297.94235115838609</c:v>
                </c:pt>
                <c:pt idx="339">
                  <c:v>297.97900700118169</c:v>
                </c:pt>
                <c:pt idx="340">
                  <c:v>298.01501147462045</c:v>
                </c:pt>
                <c:pt idx="341">
                  <c:v>298.05037609559781</c:v>
                </c:pt>
                <c:pt idx="342">
                  <c:v>298.08511217942907</c:v>
                </c:pt>
                <c:pt idx="343">
                  <c:v>298.11923084330522</c:v>
                </c:pt>
                <c:pt idx="344">
                  <c:v>298.15274300969287</c:v>
                </c:pt>
                <c:pt idx="345">
                  <c:v>298.18565940967522</c:v>
                </c:pt>
                <c:pt idx="346">
                  <c:v>298.21799058624117</c:v>
                </c:pt>
                <c:pt idx="347">
                  <c:v>298.24974689751866</c:v>
                </c:pt>
                <c:pt idx="348">
                  <c:v>298.28093851995476</c:v>
                </c:pt>
                <c:pt idx="349">
                  <c:v>298.31157545144464</c:v>
                </c:pt>
                <c:pt idx="350">
                  <c:v>298.34166751440654</c:v>
                </c:pt>
                <c:pt idx="351">
                  <c:v>298.37122435880713</c:v>
                </c:pt>
                <c:pt idx="352">
                  <c:v>298.40025546513726</c:v>
                </c:pt>
                <c:pt idx="353">
                  <c:v>298.42877014733648</c:v>
                </c:pt>
                <c:pt idx="354">
                  <c:v>298.45677755567124</c:v>
                </c:pt>
                <c:pt idx="355">
                  <c:v>298.48428667956154</c:v>
                </c:pt>
                <c:pt idx="356">
                  <c:v>298.51130635036543</c:v>
                </c:pt>
                <c:pt idx="357">
                  <c:v>298.53784524411253</c:v>
                </c:pt>
                <c:pt idx="358">
                  <c:v>298.56391188419332</c:v>
                </c:pt>
                <c:pt idx="359">
                  <c:v>298.58951464400496</c:v>
                </c:pt>
                <c:pt idx="360">
                  <c:v>298.6146617495499</c:v>
                </c:pt>
                <c:pt idx="361">
                  <c:v>298.63936128199327</c:v>
                </c:pt>
                <c:pt idx="362">
                  <c:v>298.66362118017599</c:v>
                </c:pt>
                <c:pt idx="363">
                  <c:v>298.68744924308567</c:v>
                </c:pt>
                <c:pt idx="364">
                  <c:v>298.71085313228696</c:v>
                </c:pt>
                <c:pt idx="365">
                  <c:v>298.73384037430947</c:v>
                </c:pt>
                <c:pt idx="366">
                  <c:v>298.75641836299474</c:v>
                </c:pt>
                <c:pt idx="367">
                  <c:v>298.77859436180785</c:v>
                </c:pt>
                <c:pt idx="368">
                  <c:v>298.80037550610353</c:v>
                </c:pt>
                <c:pt idx="369">
                  <c:v>298.82176880535945</c:v>
                </c:pt>
                <c:pt idx="370">
                  <c:v>298.84278114536744</c:v>
                </c:pt>
                <c:pt idx="371">
                  <c:v>298.86341929039139</c:v>
                </c:pt>
                <c:pt idx="372">
                  <c:v>298.88368988528549</c:v>
                </c:pt>
                <c:pt idx="373">
                  <c:v>298.90359945757672</c:v>
                </c:pt>
                <c:pt idx="374">
                  <c:v>298.92315441951411</c:v>
                </c:pt>
                <c:pt idx="375">
                  <c:v>298.94236107008101</c:v>
                </c:pt>
                <c:pt idx="376">
                  <c:v>298.96122559697295</c:v>
                </c:pt>
                <c:pt idx="377">
                  <c:v>298.97975407854432</c:v>
                </c:pt>
                <c:pt idx="378">
                  <c:v>298.99795248571684</c:v>
                </c:pt>
                <c:pt idx="379">
                  <c:v>299.01582668386203</c:v>
                </c:pt>
                <c:pt idx="380">
                  <c:v>299.03338243464492</c:v>
                </c:pt>
                <c:pt idx="381">
                  <c:v>299.05062539784075</c:v>
                </c:pt>
                <c:pt idx="382">
                  <c:v>299.06756113311894</c:v>
                </c:pt>
                <c:pt idx="383">
                  <c:v>299.08419510179584</c:v>
                </c:pt>
                <c:pt idx="384">
                  <c:v>299.10053266855851</c:v>
                </c:pt>
                <c:pt idx="385">
                  <c:v>299.11657910315739</c:v>
                </c:pt>
                <c:pt idx="386">
                  <c:v>299.13233958207331</c:v>
                </c:pt>
                <c:pt idx="387">
                  <c:v>299.14781919014985</c:v>
                </c:pt>
                <c:pt idx="388">
                  <c:v>299.16302292220496</c:v>
                </c:pt>
                <c:pt idx="389">
                  <c:v>299.17795568460775</c:v>
                </c:pt>
                <c:pt idx="390">
                  <c:v>299.19262229683318</c:v>
                </c:pt>
                <c:pt idx="391">
                  <c:v>299.20702749298817</c:v>
                </c:pt>
                <c:pt idx="392">
                  <c:v>299.22117592331</c:v>
                </c:pt>
                <c:pt idx="393">
                  <c:v>299.23507215564109</c:v>
                </c:pt>
                <c:pt idx="394">
                  <c:v>299.24872067687795</c:v>
                </c:pt>
                <c:pt idx="395">
                  <c:v>299.26212589439251</c:v>
                </c:pt>
                <c:pt idx="396">
                  <c:v>299.27529213743287</c:v>
                </c:pt>
                <c:pt idx="397">
                  <c:v>299.28822365849601</c:v>
                </c:pt>
                <c:pt idx="398">
                  <c:v>299.30092463467986</c:v>
                </c:pt>
                <c:pt idx="399">
                  <c:v>299.31339916900976</c:v>
                </c:pt>
                <c:pt idx="400">
                  <c:v>299.32565129174293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34-47AA-B79A-BE846C3C9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t (días)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m(t) [kg]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BO"/>
              <a:t>Crecimiento del pez - Euler vs Exacto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Euler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Pez_Euler!$B$12:$B$113</c:f>
              <c:numCache>
                <c:formatCode>General</c:formatCode>
                <c:ptCount val="10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</c:numCache>
            </c:numRef>
          </c:xVal>
          <c:yVal>
            <c:numRef>
              <c:f>Pez_Euler!$C$12:$C$113</c:f>
              <c:numCache>
                <c:formatCode>General</c:formatCode>
                <c:ptCount val="102"/>
                <c:pt idx="0">
                  <c:v>0.5</c:v>
                </c:pt>
                <c:pt idx="1">
                  <c:v>0.71498026247371826</c:v>
                </c:pt>
                <c:pt idx="2">
                  <c:v>0.97177492751243055</c:v>
                </c:pt>
                <c:pt idx="3">
                  <c:v>1.2679667614010206</c:v>
                </c:pt>
                <c:pt idx="4">
                  <c:v>1.6001184005176718</c:v>
                </c:pt>
                <c:pt idx="5">
                  <c:v>1.9641188423415383</c:v>
                </c:pt>
                <c:pt idx="6">
                  <c:v>2.3554740216819292</c:v>
                </c:pt>
                <c:pt idx="7">
                  <c:v>2.7695401075204584</c:v>
                </c:pt>
                <c:pt idx="8">
                  <c:v>3.2017036695714616</c:v>
                </c:pt>
                <c:pt idx="9">
                  <c:v>3.6475153206661743</c:v>
                </c:pt>
                <c:pt idx="10">
                  <c:v>4.1027841809985306</c:v>
                </c:pt>
                <c:pt idx="11">
                  <c:v>4.563640325967409</c:v>
                </c:pt>
                <c:pt idx="12">
                  <c:v>5.0265717356073951</c:v>
                </c:pt>
                <c:pt idx="13">
                  <c:v>5.4884414289815791</c:v>
                </c:pt>
                <c:pt idx="14">
                  <c:v>5.9464895926184118</c:v>
                </c:pt>
                <c:pt idx="15">
                  <c:v>6.3983246792662429</c:v>
                </c:pt>
                <c:pt idx="16">
                  <c:v>6.8419067015556569</c:v>
                </c:pt>
                <c:pt idx="17">
                  <c:v>7.2755252900139116</c:v>
                </c:pt>
                <c:pt idx="18">
                  <c:v>7.6977745279437917</c:v>
                </c:pt>
                <c:pt idx="19">
                  <c:v>8.1075261112539021</c:v>
                </c:pt>
                <c:pt idx="20">
                  <c:v>8.5039020001339338</c:v>
                </c:pt>
                <c:pt idx="21">
                  <c:v>8.8862474209148932</c:v>
                </c:pt>
                <c:pt idx="22">
                  <c:v>9.2541048299195587</c:v>
                </c:pt>
                <c:pt idx="23">
                  <c:v>9.6071892566366781</c:v>
                </c:pt>
                <c:pt idx="24">
                  <c:v>9.9453652921888231</c:v>
                </c:pt>
                <c:pt idx="25">
                  <c:v>10.268625872974612</c:v>
                </c:pt>
                <c:pt idx="26">
                  <c:v>10.577072921835182</c:v>
                </c:pt>
                <c:pt idx="27">
                  <c:v>10.870899844453247</c:v>
                </c:pt>
                <c:pt idx="28">
                  <c:v>11.150375832214612</c:v>
                </c:pt>
                <c:pt idx="29">
                  <c:v>11.415831890547993</c:v>
                </c:pt>
                <c:pt idx="30">
                  <c:v>11.667648490623</c:v>
                </c:pt>
                <c:pt idx="31">
                  <c:v>11.906244729646085</c:v>
                </c:pt>
                <c:pt idx="32">
                  <c:v>12.132068878774351</c:v>
                </c:pt>
                <c:pt idx="33">
                  <c:v>12.345590196212289</c:v>
                </c:pt>
                <c:pt idx="34">
                  <c:v>12.547291885057762</c:v>
                </c:pt>
                <c:pt idx="35">
                  <c:v>12.737665079894777</c:v>
                </c:pt>
                <c:pt idx="36">
                  <c:v>12.917203752195041</c:v>
                </c:pt>
                <c:pt idx="37">
                  <c:v>13.086400431676356</c:v>
                </c:pt>
                <c:pt idx="38">
                  <c:v>13.2457426484099</c:v>
                </c:pt>
                <c:pt idx="39">
                  <c:v>13.395710008324393</c:v>
                </c:pt>
                <c:pt idx="40">
                  <c:v>13.53677182257025</c:v>
                </c:pt>
                <c:pt idx="41">
                  <c:v>13.669385218800848</c:v>
                </c:pt>
                <c:pt idx="42">
                  <c:v>13.793993669677617</c:v>
                </c:pt>
                <c:pt idx="43">
                  <c:v>13.911025880730705</c:v>
                </c:pt>
                <c:pt idx="44">
                  <c:v>14.020894986060666</c:v>
                </c:pt>
                <c:pt idx="45">
                  <c:v>14.123998006226959</c:v>
                </c:pt>
                <c:pt idx="46">
                  <c:v>14.220715528032084</c:v>
                </c:pt>
                <c:pt idx="47">
                  <c:v>14.311411570785571</c:v>
                </c:pt>
                <c:pt idx="48">
                  <c:v>14.396433608038059</c:v>
                </c:pt>
                <c:pt idx="49">
                  <c:v>14.476112717737273</c:v>
                </c:pt>
                <c:pt idx="50">
                  <c:v>14.550763837303135</c:v>
                </c:pt>
                <c:pt idx="51">
                  <c:v>14.620686103279002</c:v>
                </c:pt>
                <c:pt idx="52">
                  <c:v>14.686163258021258</c:v>
                </c:pt>
                <c:pt idx="53">
                  <c:v>14.747464108371151</c:v>
                </c:pt>
                <c:pt idx="54">
                  <c:v>14.804843023440638</c:v>
                </c:pt>
                <c:pt idx="55">
                  <c:v>14.858540460566866</c:v>
                </c:pt>
                <c:pt idx="56">
                  <c:v>14.908783510174489</c:v>
                </c:pt>
                <c:pt idx="57">
                  <c:v>14.955786451756428</c:v>
                </c:pt>
                <c:pt idx="58">
                  <c:v>14.999751314465014</c:v>
                </c:pt>
                <c:pt idx="59">
                  <c:v>15.040868436917897</c:v>
                </c:pt>
                <c:pt idx="60">
                  <c:v>15.079317021785911</c:v>
                </c:pt>
                <c:pt idx="61">
                  <c:v>15.115265681560809</c:v>
                </c:pt>
                <c:pt idx="62">
                  <c:v>15.148872972615047</c:v>
                </c:pt>
                <c:pt idx="63">
                  <c:v>15.180287915277946</c:v>
                </c:pt>
                <c:pt idx="64">
                  <c:v>15.209650498174932</c:v>
                </c:pt>
                <c:pt idx="65">
                  <c:v>15.23709216552083</c:v>
                </c:pt>
                <c:pt idx="66">
                  <c:v>15.262736286433995</c:v>
                </c:pt>
                <c:pt idx="67">
                  <c:v>15.286698605654573</c:v>
                </c:pt>
                <c:pt idx="68">
                  <c:v>15.309087675315112</c:v>
                </c:pt>
                <c:pt idx="69">
                  <c:v>15.33000526763206</c:v>
                </c:pt>
                <c:pt idx="70">
                  <c:v>15.349546768568473</c:v>
                </c:pt>
                <c:pt idx="71">
                  <c:v>15.367801552666887</c:v>
                </c:pt>
                <c:pt idx="72">
                  <c:v>15.384853339371467</c:v>
                </c:pt>
                <c:pt idx="73">
                  <c:v>15.400780531254297</c:v>
                </c:pt>
                <c:pt idx="74">
                  <c:v>15.415656534635664</c:v>
                </c:pt>
                <c:pt idx="75">
                  <c:v>15.429550063145507</c:v>
                </c:pt>
                <c:pt idx="76">
                  <c:v>15.442525424815496</c:v>
                </c:pt>
                <c:pt idx="77">
                  <c:v>15.454642793320957</c:v>
                </c:pt>
                <c:pt idx="78">
                  <c:v>15.465958464010981</c:v>
                </c:pt>
                <c:pt idx="79">
                  <c:v>15.476525095375374</c:v>
                </c:pt>
                <c:pt idx="80">
                  <c:v>15.486391936600091</c:v>
                </c:pt>
                <c:pt idx="81">
                  <c:v>15.495605041859848</c:v>
                </c:pt>
                <c:pt idx="82">
                  <c:v>15.504207471988682</c:v>
                </c:pt>
                <c:pt idx="83">
                  <c:v>15.512239484157437</c:v>
                </c:pt>
                <c:pt idx="84">
                  <c:v>15.519738710172252</c:v>
                </c:pt>
                <c:pt idx="85">
                  <c:v>15.526740323990778</c:v>
                </c:pt>
                <c:pt idx="86">
                  <c:v>15.533277199033666</c:v>
                </c:pt>
                <c:pt idx="87">
                  <c:v>15.539380055848431</c:v>
                </c:pt>
                <c:pt idx="88">
                  <c:v>15.545077600661282</c:v>
                </c:pt>
                <c:pt idx="89">
                  <c:v>15.550396655330642</c:v>
                </c:pt>
                <c:pt idx="90">
                  <c:v>15.555362279193725</c:v>
                </c:pt>
                <c:pt idx="91">
                  <c:v>15.559997883275276</c:v>
                </c:pt>
                <c:pt idx="92">
                  <c:v>15.564325337305446</c:v>
                </c:pt>
                <c:pt idx="93">
                  <c:v>15.568365069971884</c:v>
                </c:pt>
                <c:pt idx="94">
                  <c:v>15.572136162809819</c:v>
                </c:pt>
                <c:pt idx="95">
                  <c:v>15.575656438112969</c:v>
                </c:pt>
                <c:pt idx="96">
                  <c:v>15.578942541227919</c:v>
                </c:pt>
                <c:pt idx="97">
                  <c:v>15.582010017575067</c:v>
                </c:pt>
                <c:pt idx="98">
                  <c:v>15.584873384720302</c:v>
                </c:pt>
                <c:pt idx="99">
                  <c:v>15.58754619980359</c:v>
                </c:pt>
                <c:pt idx="100">
                  <c:v>15.590041122613192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24-4092-85D9-195BFFAD66D6}"/>
            </c:ext>
          </c:extLst>
        </c:ser>
        <c:ser>
          <c:idx val="1"/>
          <c:order val="1"/>
          <c:tx>
            <c:v>Exacto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Pez_Euler!$B$12:$B$113</c:f>
              <c:numCache>
                <c:formatCode>General</c:formatCode>
                <c:ptCount val="10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</c:numCache>
            </c:numRef>
          </c:xVal>
          <c:yVal>
            <c:numRef>
              <c:f>Pez_Euler!$E$12:$E$113</c:f>
              <c:numCache>
                <c:formatCode>General</c:formatCode>
                <c:ptCount val="102"/>
                <c:pt idx="0">
                  <c:v>0.49999999999999989</c:v>
                </c:pt>
                <c:pt idx="1">
                  <c:v>0.73813808265171388</c:v>
                </c:pt>
                <c:pt idx="2">
                  <c:v>1.0202113355183855</c:v>
                </c:pt>
                <c:pt idx="3">
                  <c:v>1.3419202622924504</c:v>
                </c:pt>
                <c:pt idx="4">
                  <c:v>1.6983497399004543</c:v>
                </c:pt>
                <c:pt idx="5">
                  <c:v>2.0843152107295784</c:v>
                </c:pt>
                <c:pt idx="6">
                  <c:v>2.4946129371447663</c:v>
                </c:pt>
                <c:pt idx="7">
                  <c:v>2.9241961025623375</c:v>
                </c:pt>
                <c:pt idx="8">
                  <c:v>3.3682940298564517</c:v>
                </c:pt>
                <c:pt idx="9">
                  <c:v>3.8224881640743189</c:v>
                </c:pt>
                <c:pt idx="10">
                  <c:v>4.2827555620548496</c:v>
                </c:pt>
                <c:pt idx="11">
                  <c:v>4.7454883083054993</c:v>
                </c:pt>
                <c:pt idx="12">
                  <c:v>5.2074954221676872</c:v>
                </c:pt>
                <c:pt idx="13">
                  <c:v>5.665992344872385</c:v>
                </c:pt>
                <c:pt idx="14">
                  <c:v>6.1185819227884837</c:v>
                </c:pt>
                <c:pt idx="15">
                  <c:v>6.5632298752638647</c:v>
                </c:pt>
                <c:pt idx="16">
                  <c:v>6.9982370036242934</c:v>
                </c:pt>
                <c:pt idx="17">
                  <c:v>7.4222098230667539</c:v>
                </c:pt>
                <c:pt idx="18">
                  <c:v>7.8340308498220992</c:v>
                </c:pt>
                <c:pt idx="19">
                  <c:v>8.2328294266320885</c:v>
                </c:pt>
                <c:pt idx="20">
                  <c:v>8.6179536998015607</c:v>
                </c:pt>
                <c:pt idx="21">
                  <c:v>8.9889441543713247</c:v>
                </c:pt>
                <c:pt idx="22">
                  <c:v>9.3455089570802095</c:v>
                </c:pt>
                <c:pt idx="23">
                  <c:v>9.6875012391391166</c:v>
                </c:pt>
                <c:pt idx="24">
                  <c:v>10.01489836394105</c:v>
                </c:pt>
                <c:pt idx="25">
                  <c:v>10.32778316190408</c:v>
                </c:pt>
                <c:pt idx="26">
                  <c:v>10.626327070294584</c:v>
                </c:pt>
                <c:pt idx="27">
                  <c:v>10.910775085821911</c:v>
                </c:pt>
                <c:pt idx="28">
                  <c:v>11.181432418640298</c:v>
                </c:pt>
                <c:pt idx="29">
                  <c:v>11.438652725464253</c:v>
                </c:pt>
                <c:pt idx="30">
                  <c:v>11.682827794697335</c:v>
                </c:pt>
                <c:pt idx="31">
                  <c:v>11.914378556147474</c:v>
                </c:pt>
                <c:pt idx="32">
                  <c:v>12.13374729077724</c:v>
                </c:pt>
                <c:pt idx="33">
                  <c:v>12.34139092102674</c:v>
                </c:pt>
                <c:pt idx="34">
                  <c:v>12.537775268794393</c:v>
                </c:pt>
                <c:pt idx="35">
                  <c:v>12.723370175592169</c:v>
                </c:pt>
                <c:pt idx="36">
                  <c:v>12.89864538727611</c:v>
                </c:pt>
                <c:pt idx="37">
                  <c:v>13.06406711377274</c:v>
                </c:pt>
                <c:pt idx="38">
                  <c:v>13.220095182146425</c:v>
                </c:pt>
                <c:pt idx="39">
                  <c:v>13.367180709020195</c:v>
                </c:pt>
                <c:pt idx="40">
                  <c:v>13.505764225663038</c:v>
                </c:pt>
                <c:pt idx="41">
                  <c:v>13.636274195920459</c:v>
                </c:pt>
                <c:pt idx="42">
                  <c:v>13.759125873552966</c:v>
                </c:pt>
                <c:pt idx="43">
                  <c:v>13.874720451441632</c:v>
                </c:pt>
                <c:pt idx="44">
                  <c:v>13.983444460520488</c:v>
                </c:pt>
                <c:pt idx="45">
                  <c:v>14.085669381214011</c:v>
                </c:pt>
                <c:pt idx="46">
                  <c:v>14.181751434612906</c:v>
                </c:pt>
                <c:pt idx="47">
                  <c:v>14.272031524637974</c:v>
                </c:pt>
                <c:pt idx="48">
                  <c:v>14.356835306048318</c:v>
                </c:pt>
                <c:pt idx="49">
                  <c:v>14.436473356375718</c:v>
                </c:pt>
                <c:pt idx="50">
                  <c:v>14.511241432742152</c:v>
                </c:pt>
                <c:pt idx="51">
                  <c:v>14.58142079707237</c:v>
                </c:pt>
                <c:pt idx="52">
                  <c:v>14.647278595476152</c:v>
                </c:pt>
                <c:pt idx="53">
                  <c:v>14.709068279574407</c:v>
                </c:pt>
                <c:pt idx="54">
                  <c:v>14.767030059304211</c:v>
                </c:pt>
                <c:pt idx="55">
                  <c:v>14.821391378285281</c:v>
                </c:pt>
                <c:pt idx="56">
                  <c:v>14.872367404186756</c:v>
                </c:pt>
                <c:pt idx="57">
                  <c:v>14.920161527718387</c:v>
                </c:pt>
                <c:pt idx="58">
                  <c:v>14.964965864903922</c:v>
                </c:pt>
                <c:pt idx="59">
                  <c:v>15.006961758193153</c:v>
                </c:pt>
                <c:pt idx="60">
                  <c:v>15.04632027274876</c:v>
                </c:pt>
                <c:pt idx="61">
                  <c:v>15.0832026849179</c:v>
                </c:pt>
                <c:pt idx="62">
                  <c:v>15.117760960479842</c:v>
                </c:pt>
                <c:pt idx="63">
                  <c:v>15.150138220760516</c:v>
                </c:pt>
                <c:pt idx="64">
                  <c:v>15.180469195132551</c:v>
                </c:pt>
                <c:pt idx="65">
                  <c:v>15.208880658784741</c:v>
                </c:pt>
                <c:pt idx="66">
                  <c:v>15.235491854954777</c:v>
                </c:pt>
                <c:pt idx="67">
                  <c:v>15.260414901082068</c:v>
                </c:pt>
                <c:pt idx="68">
                  <c:v>15.283755178557684</c:v>
                </c:pt>
                <c:pt idx="69">
                  <c:v>15.305611705933714</c:v>
                </c:pt>
                <c:pt idx="70">
                  <c:v>15.326077495607297</c:v>
                </c:pt>
                <c:pt idx="71">
                  <c:v>15.345239894121203</c:v>
                </c:pt>
                <c:pt idx="72">
                  <c:v>15.363180906325558</c:v>
                </c:pt>
                <c:pt idx="73">
                  <c:v>15.379977503728551</c:v>
                </c:pt>
                <c:pt idx="74">
                  <c:v>15.395701917429385</c:v>
                </c:pt>
                <c:pt idx="75">
                  <c:v>15.410421916078052</c:v>
                </c:pt>
                <c:pt idx="76">
                  <c:v>15.424201069344832</c:v>
                </c:pt>
                <c:pt idx="77">
                  <c:v>15.437098997410546</c:v>
                </c:pt>
                <c:pt idx="78">
                  <c:v>15.449171607007274</c:v>
                </c:pt>
                <c:pt idx="79">
                  <c:v>15.460471314550997</c:v>
                </c:pt>
                <c:pt idx="80">
                  <c:v>15.471047256912549</c:v>
                </c:pt>
                <c:pt idx="81">
                  <c:v>15.480945490373243</c:v>
                </c:pt>
                <c:pt idx="82">
                  <c:v>15.490209178307323</c:v>
                </c:pt>
                <c:pt idx="83">
                  <c:v>15.498878768125154</c:v>
                </c:pt>
                <c:pt idx="84">
                  <c:v>15.506992158001045</c:v>
                </c:pt>
                <c:pt idx="85">
                  <c:v>15.514584853895897</c:v>
                </c:pt>
                <c:pt idx="86">
                  <c:v>15.521690117371001</c:v>
                </c:pt>
                <c:pt idx="87">
                  <c:v>15.528339104672883</c:v>
                </c:pt>
                <c:pt idx="88">
                  <c:v>15.534560997552372</c:v>
                </c:pt>
                <c:pt idx="89">
                  <c:v>15.540383126263624</c:v>
                </c:pt>
                <c:pt idx="90">
                  <c:v>15.545831085170796</c:v>
                </c:pt>
                <c:pt idx="91">
                  <c:v>15.550928841371995</c:v>
                </c:pt>
                <c:pt idx="92">
                  <c:v>15.555698836732091</c:v>
                </c:pt>
                <c:pt idx="93">
                  <c:v>15.560162083697909</c:v>
                </c:pt>
                <c:pt idx="94">
                  <c:v>15.564338255251814</c:v>
                </c:pt>
                <c:pt idx="95">
                  <c:v>15.568245769341987</c:v>
                </c:pt>
                <c:pt idx="96">
                  <c:v>15.571901868111267</c:v>
                </c:pt>
                <c:pt idx="97">
                  <c:v>15.575322692229461</c:v>
                </c:pt>
                <c:pt idx="98">
                  <c:v>15.578523350618523</c:v>
                </c:pt>
                <c:pt idx="99">
                  <c:v>15.581517985844471</c:v>
                </c:pt>
                <c:pt idx="100">
                  <c:v>15.584319835435055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24-4092-85D9-195BFFAD6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t (días)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w(t) [lb]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BO"/>
              <a:t>Crecimiento del pez - Heun vs Exacto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Heun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Pez_Heun!$B$12:$B$113</c:f>
              <c:numCache>
                <c:formatCode>General</c:formatCode>
                <c:ptCount val="10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</c:numCache>
            </c:numRef>
          </c:xVal>
          <c:yVal>
            <c:numRef>
              <c:f>Pez_Heun!$C$12:$C$113</c:f>
              <c:numCache>
                <c:formatCode>General</c:formatCode>
                <c:ptCount val="102"/>
                <c:pt idx="0">
                  <c:v>0.5</c:v>
                </c:pt>
                <c:pt idx="1">
                  <c:v>0.73588746375621528</c:v>
                </c:pt>
                <c:pt idx="2">
                  <c:v>1.0158222426979264</c:v>
                </c:pt>
                <c:pt idx="3">
                  <c:v>1.3355929742555142</c:v>
                </c:pt>
                <c:pt idx="4">
                  <c:v>1.6903244896218415</c:v>
                </c:pt>
                <c:pt idx="5">
                  <c:v>2.0748426051595739</c:v>
                </c:pt>
                <c:pt idx="6">
                  <c:v>2.4839365166831655</c:v>
                </c:pt>
                <c:pt idx="7">
                  <c:v>2.9125427141527687</c:v>
                </c:pt>
                <c:pt idx="8">
                  <c:v>3.3558691507030423</c:v>
                </c:pt>
                <c:pt idx="9">
                  <c:v>3.8094742934487784</c:v>
                </c:pt>
                <c:pt idx="10">
                  <c:v>4.2693124511352822</c:v>
                </c:pt>
                <c:pt idx="11">
                  <c:v>4.7317542313305765</c:v>
                </c:pt>
                <c:pt idx="12">
                  <c:v>5.193588979622362</c:v>
                </c:pt>
                <c:pt idx="13">
                  <c:v>5.6520144795935083</c:v>
                </c:pt>
                <c:pt idx="14">
                  <c:v>6.1046179550933619</c:v>
                </c:pt>
                <c:pt idx="15">
                  <c:v>6.5493514449833352</c:v>
                </c:pt>
                <c:pt idx="16">
                  <c:v>6.9845038596646303</c:v>
                </c:pt>
                <c:pt idx="17">
                  <c:v>7.4086714345032645</c:v>
                </c:pt>
                <c:pt idx="18">
                  <c:v>7.8207278330550967</c:v>
                </c:pt>
                <c:pt idx="19">
                  <c:v>8.2197947952041091</c:v>
                </c:pt>
                <c:pt idx="20">
                  <c:v>8.60521395004195</c:v>
                </c:pt>
                <c:pt idx="21">
                  <c:v>8.9765202030885298</c:v>
                </c:pt>
                <c:pt idx="22">
                  <c:v>9.3334169483922018</c:v>
                </c:pt>
                <c:pt idx="23">
                  <c:v>9.6757532371000305</c:v>
                </c:pt>
                <c:pt idx="24">
                  <c:v>10.003502946464335</c:v>
                </c:pt>
                <c:pt idx="25">
                  <c:v>10.316745929971601</c:v>
                </c:pt>
                <c:pt idx="26">
                  <c:v>10.615651084810722</c:v>
                </c:pt>
                <c:pt idx="27">
                  <c:v>10.900461242862876</c:v>
                </c:pt>
                <c:pt idx="28">
                  <c:v>11.171479772342069</c:v>
                </c:pt>
                <c:pt idx="29">
                  <c:v>11.429058766428335</c:v>
                </c:pt>
                <c:pt idx="30">
                  <c:v>11.673588690587444</c:v>
                </c:pt>
                <c:pt idx="31">
                  <c:v>11.905489360102598</c:v>
                </c:pt>
                <c:pt idx="32">
                  <c:v>12.125202122368218</c:v>
                </c:pt>
                <c:pt idx="33">
                  <c:v>12.333183123721495</c:v>
                </c:pt>
                <c:pt idx="34">
                  <c:v>12.529897547255549</c:v>
                </c:pt>
                <c:pt idx="35">
                  <c:v>12.71581471559425</c:v>
                </c:pt>
                <c:pt idx="36">
                  <c:v>12.891403960583171</c:v>
                </c:pt>
                <c:pt idx="37">
                  <c:v>13.057131169946954</c:v>
                </c:pt>
                <c:pt idx="38">
                  <c:v>13.213455928951964</c:v>
                </c:pt>
                <c:pt idx="39">
                  <c:v>13.360829182833699</c:v>
                </c:pt>
                <c:pt idx="40">
                  <c:v>13.499691353093084</c:v>
                </c:pt>
                <c:pt idx="41">
                  <c:v>13.630470847665908</c:v>
                </c:pt>
                <c:pt idx="42">
                  <c:v>13.753582911387149</c:v>
                </c:pt>
                <c:pt idx="43">
                  <c:v>13.869428769090765</c:v>
                </c:pt>
                <c:pt idx="44">
                  <c:v>13.978395019106102</c:v>
                </c:pt>
                <c:pt idx="45">
                  <c:v>14.080853239846416</c:v>
                </c:pt>
                <c:pt idx="46">
                  <c:v>14.177159776653179</c:v>
                </c:pt>
                <c:pt idx="47">
                  <c:v>14.26765568008714</c:v>
                </c:pt>
                <c:pt idx="48">
                  <c:v>14.352666770472108</c:v>
                </c:pt>
                <c:pt idx="49">
                  <c:v>14.432503806730104</c:v>
                </c:pt>
                <c:pt idx="50">
                  <c:v>14.507462740427554</c:v>
                </c:pt>
                <c:pt idx="51">
                  <c:v>14.577825038511662</c:v>
                </c:pt>
                <c:pt idx="52">
                  <c:v>14.64385806048309</c:v>
                </c:pt>
                <c:pt idx="53">
                  <c:v>14.705815477753534</c:v>
                </c:pt>
                <c:pt idx="54">
                  <c:v>14.763937724700666</c:v>
                </c:pt>
                <c:pt idx="55">
                  <c:v>14.818452472482718</c:v>
                </c:pt>
                <c:pt idx="56">
                  <c:v>14.869575118033094</c:v>
                </c:pt>
                <c:pt idx="57">
                  <c:v>14.917509281842591</c:v>
                </c:pt>
                <c:pt idx="58">
                  <c:v>14.962447309171896</c:v>
                </c:pt>
                <c:pt idx="59">
                  <c:v>15.004570770237114</c:v>
                </c:pt>
                <c:pt idx="60">
                  <c:v>15.044050955691752</c:v>
                </c:pt>
                <c:pt idx="61">
                  <c:v>15.081049364403682</c:v>
                </c:pt>
                <c:pt idx="62">
                  <c:v>15.115718181107834</c:v>
                </c:pt>
                <c:pt idx="63">
                  <c:v>15.148200742015678</c:v>
                </c:pt>
                <c:pt idx="64">
                  <c:v>15.178631986891329</c:v>
                </c:pt>
                <c:pt idx="65">
                  <c:v>15.207138896469877</c:v>
                </c:pt>
                <c:pt idx="66">
                  <c:v>15.233840914404544</c:v>
                </c:pt>
                <c:pt idx="67">
                  <c:v>15.258850353192326</c:v>
                </c:pt>
                <c:pt idx="68">
                  <c:v>15.282272783749171</c:v>
                </c:pt>
                <c:pt idx="69">
                  <c:v>15.304207408491026</c:v>
                </c:pt>
                <c:pt idx="70">
                  <c:v>15.324747417930887</c:v>
                </c:pt>
                <c:pt idx="71">
                  <c:v>15.343980330928844</c:v>
                </c:pt>
                <c:pt idx="72">
                  <c:v>15.361988318835486</c:v>
                </c:pt>
                <c:pt idx="73">
                  <c:v>15.378848513852375</c:v>
                </c:pt>
                <c:pt idx="74">
                  <c:v>15.394633301999397</c:v>
                </c:pt>
                <c:pt idx="75">
                  <c:v>15.409410601130187</c:v>
                </c:pt>
                <c:pt idx="76">
                  <c:v>15.423244124475675</c:v>
                </c:pt>
                <c:pt idx="77">
                  <c:v>15.436193630223983</c:v>
                </c:pt>
                <c:pt idx="78">
                  <c:v>15.448315157664155</c:v>
                </c:pt>
                <c:pt idx="79">
                  <c:v>15.459661250432863</c:v>
                </c:pt>
                <c:pt idx="80">
                  <c:v>15.470281167408617</c:v>
                </c:pt>
                <c:pt idx="81">
                  <c:v>15.480221081798099</c:v>
                </c:pt>
                <c:pt idx="82">
                  <c:v>15.489524268955147</c:v>
                </c:pt>
                <c:pt idx="83">
                  <c:v>15.49823128346514</c:v>
                </c:pt>
                <c:pt idx="84">
                  <c:v>15.506380126017099</c:v>
                </c:pt>
                <c:pt idx="85">
                  <c:v>15.514006400573034</c:v>
                </c:pt>
                <c:pt idx="86">
                  <c:v>15.521143462329572</c:v>
                </c:pt>
                <c:pt idx="87">
                  <c:v>15.527822556951078</c:v>
                </c:pt>
                <c:pt idx="88">
                  <c:v>15.534072951536753</c:v>
                </c:pt>
                <c:pt idx="89">
                  <c:v>15.539922057766697</c:v>
                </c:pt>
                <c:pt idx="90">
                  <c:v>15.545395547654149</c:v>
                </c:pt>
                <c:pt idx="91">
                  <c:v>15.550517462313076</c:v>
                </c:pt>
                <c:pt idx="92">
                  <c:v>15.555310314132258</c:v>
                </c:pt>
                <c:pt idx="93">
                  <c:v>15.559795182729099</c:v>
                </c:pt>
                <c:pt idx="94">
                  <c:v>15.563991805038786</c:v>
                </c:pt>
                <c:pt idx="95">
                  <c:v>15.567918659877074</c:v>
                </c:pt>
                <c:pt idx="96">
                  <c:v>15.571593047298119</c:v>
                </c:pt>
                <c:pt idx="97">
                  <c:v>15.575031163052365</c:v>
                </c:pt>
                <c:pt idx="98">
                  <c:v>15.578248168433626</c:v>
                </c:pt>
                <c:pt idx="99">
                  <c:v>15.581258255789153</c:v>
                </c:pt>
                <c:pt idx="100">
                  <c:v>15.584074709951771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97-4916-8126-C67F08E16A39}"/>
            </c:ext>
          </c:extLst>
        </c:ser>
        <c:ser>
          <c:idx val="1"/>
          <c:order val="1"/>
          <c:tx>
            <c:v>Exacto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Pez_Heun!$B$12:$B$113</c:f>
              <c:numCache>
                <c:formatCode>General</c:formatCode>
                <c:ptCount val="10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</c:numCache>
            </c:numRef>
          </c:xVal>
          <c:yVal>
            <c:numRef>
              <c:f>Pez_Heun!$G$12:$G$113</c:f>
              <c:numCache>
                <c:formatCode>General</c:formatCode>
                <c:ptCount val="102"/>
                <c:pt idx="0">
                  <c:v>0.49999999999999989</c:v>
                </c:pt>
                <c:pt idx="1">
                  <c:v>0.73813808265171388</c:v>
                </c:pt>
                <c:pt idx="2">
                  <c:v>1.0202113355183855</c:v>
                </c:pt>
                <c:pt idx="3">
                  <c:v>1.3419202622924504</c:v>
                </c:pt>
                <c:pt idx="4">
                  <c:v>1.6983497399004543</c:v>
                </c:pt>
                <c:pt idx="5">
                  <c:v>2.0843152107295784</c:v>
                </c:pt>
                <c:pt idx="6">
                  <c:v>2.4946129371447663</c:v>
                </c:pt>
                <c:pt idx="7">
                  <c:v>2.9241961025623375</c:v>
                </c:pt>
                <c:pt idx="8">
                  <c:v>3.3682940298564517</c:v>
                </c:pt>
                <c:pt idx="9">
                  <c:v>3.8224881640743189</c:v>
                </c:pt>
                <c:pt idx="10">
                  <c:v>4.2827555620548496</c:v>
                </c:pt>
                <c:pt idx="11">
                  <c:v>4.7454883083054993</c:v>
                </c:pt>
                <c:pt idx="12">
                  <c:v>5.2074954221676872</c:v>
                </c:pt>
                <c:pt idx="13">
                  <c:v>5.665992344872385</c:v>
                </c:pt>
                <c:pt idx="14">
                  <c:v>6.1185819227884837</c:v>
                </c:pt>
                <c:pt idx="15">
                  <c:v>6.5632298752638647</c:v>
                </c:pt>
                <c:pt idx="16">
                  <c:v>6.9982370036242934</c:v>
                </c:pt>
                <c:pt idx="17">
                  <c:v>7.4222098230667539</c:v>
                </c:pt>
                <c:pt idx="18">
                  <c:v>7.8340308498220992</c:v>
                </c:pt>
                <c:pt idx="19">
                  <c:v>8.2328294266320885</c:v>
                </c:pt>
                <c:pt idx="20">
                  <c:v>8.6179536998015607</c:v>
                </c:pt>
                <c:pt idx="21">
                  <c:v>8.9889441543713247</c:v>
                </c:pt>
                <c:pt idx="22">
                  <c:v>9.3455089570802095</c:v>
                </c:pt>
                <c:pt idx="23">
                  <c:v>9.6875012391391166</c:v>
                </c:pt>
                <c:pt idx="24">
                  <c:v>10.01489836394105</c:v>
                </c:pt>
                <c:pt idx="25">
                  <c:v>10.32778316190408</c:v>
                </c:pt>
                <c:pt idx="26">
                  <c:v>10.626327070294584</c:v>
                </c:pt>
                <c:pt idx="27">
                  <c:v>10.910775085821911</c:v>
                </c:pt>
                <c:pt idx="28">
                  <c:v>11.181432418640298</c:v>
                </c:pt>
                <c:pt idx="29">
                  <c:v>11.438652725464253</c:v>
                </c:pt>
                <c:pt idx="30">
                  <c:v>11.682827794697335</c:v>
                </c:pt>
                <c:pt idx="31">
                  <c:v>11.914378556147474</c:v>
                </c:pt>
                <c:pt idx="32">
                  <c:v>12.13374729077724</c:v>
                </c:pt>
                <c:pt idx="33">
                  <c:v>12.34139092102674</c:v>
                </c:pt>
                <c:pt idx="34">
                  <c:v>12.537775268794393</c:v>
                </c:pt>
                <c:pt idx="35">
                  <c:v>12.723370175592169</c:v>
                </c:pt>
                <c:pt idx="36">
                  <c:v>12.89864538727611</c:v>
                </c:pt>
                <c:pt idx="37">
                  <c:v>13.06406711377274</c:v>
                </c:pt>
                <c:pt idx="38">
                  <c:v>13.220095182146425</c:v>
                </c:pt>
                <c:pt idx="39">
                  <c:v>13.367180709020195</c:v>
                </c:pt>
                <c:pt idx="40">
                  <c:v>13.505764225663038</c:v>
                </c:pt>
                <c:pt idx="41">
                  <c:v>13.636274195920459</c:v>
                </c:pt>
                <c:pt idx="42">
                  <c:v>13.759125873552966</c:v>
                </c:pt>
                <c:pt idx="43">
                  <c:v>13.874720451441632</c:v>
                </c:pt>
                <c:pt idx="44">
                  <c:v>13.983444460520488</c:v>
                </c:pt>
                <c:pt idx="45">
                  <c:v>14.085669381214011</c:v>
                </c:pt>
                <c:pt idx="46">
                  <c:v>14.181751434612906</c:v>
                </c:pt>
                <c:pt idx="47">
                  <c:v>14.272031524637974</c:v>
                </c:pt>
                <c:pt idx="48">
                  <c:v>14.356835306048318</c:v>
                </c:pt>
                <c:pt idx="49">
                  <c:v>14.436473356375718</c:v>
                </c:pt>
                <c:pt idx="50">
                  <c:v>14.511241432742152</c:v>
                </c:pt>
                <c:pt idx="51">
                  <c:v>14.58142079707237</c:v>
                </c:pt>
                <c:pt idx="52">
                  <c:v>14.647278595476152</c:v>
                </c:pt>
                <c:pt idx="53">
                  <c:v>14.709068279574407</c:v>
                </c:pt>
                <c:pt idx="54">
                  <c:v>14.767030059304211</c:v>
                </c:pt>
                <c:pt idx="55">
                  <c:v>14.821391378285281</c:v>
                </c:pt>
                <c:pt idx="56">
                  <c:v>14.872367404186756</c:v>
                </c:pt>
                <c:pt idx="57">
                  <c:v>14.920161527718387</c:v>
                </c:pt>
                <c:pt idx="58">
                  <c:v>14.964965864903922</c:v>
                </c:pt>
                <c:pt idx="59">
                  <c:v>15.006961758193153</c:v>
                </c:pt>
                <c:pt idx="60">
                  <c:v>15.04632027274876</c:v>
                </c:pt>
                <c:pt idx="61">
                  <c:v>15.0832026849179</c:v>
                </c:pt>
                <c:pt idx="62">
                  <c:v>15.117760960479842</c:v>
                </c:pt>
                <c:pt idx="63">
                  <c:v>15.150138220760516</c:v>
                </c:pt>
                <c:pt idx="64">
                  <c:v>15.180469195132551</c:v>
                </c:pt>
                <c:pt idx="65">
                  <c:v>15.208880658784741</c:v>
                </c:pt>
                <c:pt idx="66">
                  <c:v>15.235491854954777</c:v>
                </c:pt>
                <c:pt idx="67">
                  <c:v>15.260414901082068</c:v>
                </c:pt>
                <c:pt idx="68">
                  <c:v>15.283755178557684</c:v>
                </c:pt>
                <c:pt idx="69">
                  <c:v>15.305611705933714</c:v>
                </c:pt>
                <c:pt idx="70">
                  <c:v>15.326077495607297</c:v>
                </c:pt>
                <c:pt idx="71">
                  <c:v>15.345239894121203</c:v>
                </c:pt>
                <c:pt idx="72">
                  <c:v>15.363180906325558</c:v>
                </c:pt>
                <c:pt idx="73">
                  <c:v>15.379977503728551</c:v>
                </c:pt>
                <c:pt idx="74">
                  <c:v>15.395701917429385</c:v>
                </c:pt>
                <c:pt idx="75">
                  <c:v>15.410421916078052</c:v>
                </c:pt>
                <c:pt idx="76">
                  <c:v>15.424201069344832</c:v>
                </c:pt>
                <c:pt idx="77">
                  <c:v>15.437098997410546</c:v>
                </c:pt>
                <c:pt idx="78">
                  <c:v>15.449171607007274</c:v>
                </c:pt>
                <c:pt idx="79">
                  <c:v>15.460471314550997</c:v>
                </c:pt>
                <c:pt idx="80">
                  <c:v>15.471047256912549</c:v>
                </c:pt>
                <c:pt idx="81">
                  <c:v>15.480945490373243</c:v>
                </c:pt>
                <c:pt idx="82">
                  <c:v>15.490209178307323</c:v>
                </c:pt>
                <c:pt idx="83">
                  <c:v>15.498878768125154</c:v>
                </c:pt>
                <c:pt idx="84">
                  <c:v>15.506992158001045</c:v>
                </c:pt>
                <c:pt idx="85">
                  <c:v>15.514584853895897</c:v>
                </c:pt>
                <c:pt idx="86">
                  <c:v>15.521690117371001</c:v>
                </c:pt>
                <c:pt idx="87">
                  <c:v>15.528339104672883</c:v>
                </c:pt>
                <c:pt idx="88">
                  <c:v>15.534560997552372</c:v>
                </c:pt>
                <c:pt idx="89">
                  <c:v>15.540383126263624</c:v>
                </c:pt>
                <c:pt idx="90">
                  <c:v>15.545831085170796</c:v>
                </c:pt>
                <c:pt idx="91">
                  <c:v>15.550928841371995</c:v>
                </c:pt>
                <c:pt idx="92">
                  <c:v>15.555698836732091</c:v>
                </c:pt>
                <c:pt idx="93">
                  <c:v>15.560162083697909</c:v>
                </c:pt>
                <c:pt idx="94">
                  <c:v>15.564338255251814</c:v>
                </c:pt>
                <c:pt idx="95">
                  <c:v>15.568245769341987</c:v>
                </c:pt>
                <c:pt idx="96">
                  <c:v>15.571901868111267</c:v>
                </c:pt>
                <c:pt idx="97">
                  <c:v>15.575322692229461</c:v>
                </c:pt>
                <c:pt idx="98">
                  <c:v>15.578523350618523</c:v>
                </c:pt>
                <c:pt idx="99">
                  <c:v>15.581517985844471</c:v>
                </c:pt>
                <c:pt idx="100">
                  <c:v>15.584319835435055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97-4916-8126-C67F08E16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t (días)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BO"/>
                  <a:t>w(t) [lb]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3"/>
  <sheetViews>
    <sheetView workbookViewId="0">
      <selection activeCell="F13" sqref="F13"/>
    </sheetView>
  </sheetViews>
  <sheetFormatPr baseColWidth="10" defaultColWidth="9.140625" defaultRowHeight="15" x14ac:dyDescent="0.25"/>
  <cols>
    <col min="1" max="1" width="21" customWidth="1"/>
    <col min="2" max="2" width="10" customWidth="1"/>
    <col min="3" max="3" width="16" customWidth="1"/>
    <col min="4" max="4" width="18" customWidth="1"/>
    <col min="5" max="5" width="16" customWidth="1"/>
    <col min="6" max="6" width="14" customWidth="1"/>
    <col min="8" max="8" width="10" customWidth="1"/>
    <col min="9" max="9" width="16" customWidth="1"/>
  </cols>
  <sheetData>
    <row r="1" spans="1:6" ht="21" x14ac:dyDescent="0.25">
      <c r="A1" s="7" t="s">
        <v>0</v>
      </c>
      <c r="B1" s="8"/>
      <c r="C1" s="8"/>
      <c r="D1" s="8"/>
      <c r="E1" s="8"/>
      <c r="F1" s="8"/>
    </row>
    <row r="3" spans="1:6" x14ac:dyDescent="0.25">
      <c r="A3" s="1" t="s">
        <v>1</v>
      </c>
      <c r="B3">
        <v>0.3</v>
      </c>
    </row>
    <row r="4" spans="1:6" x14ac:dyDescent="0.25">
      <c r="A4" s="1" t="s">
        <v>2</v>
      </c>
      <c r="B4">
        <v>300</v>
      </c>
    </row>
    <row r="5" spans="1:6" x14ac:dyDescent="0.25">
      <c r="A5" s="1" t="s">
        <v>3</v>
      </c>
      <c r="B5">
        <v>1</v>
      </c>
    </row>
    <row r="6" spans="1:6" x14ac:dyDescent="0.25">
      <c r="A6" s="1" t="s">
        <v>4</v>
      </c>
      <c r="B6">
        <v>1</v>
      </c>
    </row>
    <row r="7" spans="1:6" x14ac:dyDescent="0.25">
      <c r="A7" s="1" t="s">
        <v>5</v>
      </c>
      <c r="B7">
        <v>400</v>
      </c>
    </row>
    <row r="8" spans="1:6" x14ac:dyDescent="0.25">
      <c r="A8" s="1" t="s">
        <v>6</v>
      </c>
      <c r="B8">
        <f>B4^(1/4)</f>
        <v>4.1617914502878168</v>
      </c>
    </row>
    <row r="9" spans="1:6" x14ac:dyDescent="0.25">
      <c r="A9" s="1" t="s">
        <v>7</v>
      </c>
      <c r="B9">
        <f>B5^(1/4)</f>
        <v>1</v>
      </c>
    </row>
    <row r="11" spans="1:6" x14ac:dyDescent="0.25">
      <c r="A11" s="2" t="s">
        <v>8</v>
      </c>
      <c r="B11" s="2" t="s">
        <v>9</v>
      </c>
      <c r="C11" s="2" t="s">
        <v>10</v>
      </c>
      <c r="D11" s="2" t="s">
        <v>11</v>
      </c>
      <c r="E11" s="2" t="s">
        <v>12</v>
      </c>
      <c r="F11" s="2" t="s">
        <v>13</v>
      </c>
    </row>
    <row r="12" spans="1:6" x14ac:dyDescent="0.25">
      <c r="A12" s="3">
        <v>0</v>
      </c>
      <c r="B12" s="3">
        <v>0</v>
      </c>
      <c r="C12" s="3">
        <f>B5</f>
        <v>1</v>
      </c>
      <c r="D12" s="3">
        <f t="shared" ref="D12:D75" si="0">$B$3*C12^(3/4)*(1-(C12/$B$4)^(1/4))</f>
        <v>0.22791565757595736</v>
      </c>
      <c r="E12" s="3">
        <f t="shared" ref="E12:E75" si="1">( $B$8 + ($B$9-$B$8)*EXP(-$B$3*B12/(4*$B$8)) )^4</f>
        <v>1</v>
      </c>
      <c r="F12" s="3">
        <f t="shared" ref="F12:F75" si="2">ABS(C12-E12)</f>
        <v>0</v>
      </c>
    </row>
    <row r="13" spans="1:6" x14ac:dyDescent="0.25">
      <c r="A13" s="3">
        <f t="shared" ref="A13:A76" si="3">A12+1</f>
        <v>1</v>
      </c>
      <c r="B13" s="3">
        <f t="shared" ref="B13:B76" si="4">B12+$B$6</f>
        <v>1</v>
      </c>
      <c r="C13" s="3">
        <f t="shared" ref="C13:C76" si="5">C12+$B$6*D12</f>
        <v>1.2279156575759573</v>
      </c>
      <c r="D13" s="3">
        <f t="shared" si="0"/>
        <v>0.26142978688865237</v>
      </c>
      <c r="E13" s="3">
        <f t="shared" si="1"/>
        <v>1.2457369067122488</v>
      </c>
      <c r="F13" s="3">
        <f t="shared" si="2"/>
        <v>1.7821249136291462E-2</v>
      </c>
    </row>
    <row r="14" spans="1:6" x14ac:dyDescent="0.25">
      <c r="A14" s="3">
        <f t="shared" si="3"/>
        <v>2</v>
      </c>
      <c r="B14" s="3">
        <f t="shared" si="4"/>
        <v>2</v>
      </c>
      <c r="C14" s="3">
        <f t="shared" si="5"/>
        <v>1.4893454444646097</v>
      </c>
      <c r="D14" s="3">
        <f t="shared" si="0"/>
        <v>0.29709430310447643</v>
      </c>
      <c r="E14" s="3">
        <f t="shared" si="1"/>
        <v>1.5286485939791952</v>
      </c>
      <c r="F14" s="3">
        <f t="shared" si="2"/>
        <v>3.9303149514585467E-2</v>
      </c>
    </row>
    <row r="15" spans="1:6" x14ac:dyDescent="0.25">
      <c r="A15" s="3">
        <f t="shared" si="3"/>
        <v>3</v>
      </c>
      <c r="B15" s="3">
        <f t="shared" si="4"/>
        <v>3</v>
      </c>
      <c r="C15" s="3">
        <f t="shared" si="5"/>
        <v>1.7864397475690861</v>
      </c>
      <c r="D15" s="3">
        <f t="shared" si="0"/>
        <v>0.33479268930696798</v>
      </c>
      <c r="E15" s="3">
        <f t="shared" si="1"/>
        <v>1.8509187928172961</v>
      </c>
      <c r="F15" s="3">
        <f t="shared" si="2"/>
        <v>6.4479045248210021E-2</v>
      </c>
    </row>
    <row r="16" spans="1:6" x14ac:dyDescent="0.25">
      <c r="A16" s="3">
        <f t="shared" si="3"/>
        <v>4</v>
      </c>
      <c r="B16" s="3">
        <f t="shared" si="4"/>
        <v>4</v>
      </c>
      <c r="C16" s="3">
        <f t="shared" si="5"/>
        <v>2.121232436876054</v>
      </c>
      <c r="D16" s="3">
        <f t="shared" si="0"/>
        <v>0.37439803453387099</v>
      </c>
      <c r="E16" s="3">
        <f t="shared" si="1"/>
        <v>2.2145716888045168</v>
      </c>
      <c r="F16" s="3">
        <f t="shared" si="2"/>
        <v>9.3339251928462819E-2</v>
      </c>
    </row>
    <row r="17" spans="1:6" x14ac:dyDescent="0.25">
      <c r="A17" s="3">
        <f t="shared" si="3"/>
        <v>5</v>
      </c>
      <c r="B17" s="3">
        <f t="shared" si="4"/>
        <v>5</v>
      </c>
      <c r="C17" s="3">
        <f t="shared" si="5"/>
        <v>2.4956304714099251</v>
      </c>
      <c r="D17" s="3">
        <f t="shared" si="0"/>
        <v>0.41577512857468041</v>
      </c>
      <c r="E17" s="3">
        <f t="shared" si="1"/>
        <v>2.621465641911616</v>
      </c>
      <c r="F17" s="3">
        <f t="shared" si="2"/>
        <v>0.12583517050169091</v>
      </c>
    </row>
    <row r="18" spans="1:6" x14ac:dyDescent="0.25">
      <c r="A18" s="3">
        <f t="shared" si="3"/>
        <v>6</v>
      </c>
      <c r="B18" s="3">
        <f t="shared" si="4"/>
        <v>6</v>
      </c>
      <c r="C18" s="3">
        <f t="shared" si="5"/>
        <v>2.9114055999846054</v>
      </c>
      <c r="D18" s="3">
        <f t="shared" si="0"/>
        <v>0.45878238043991743</v>
      </c>
      <c r="E18" s="3">
        <f t="shared" si="1"/>
        <v>3.0732890506996648</v>
      </c>
      <c r="F18" s="3">
        <f t="shared" si="2"/>
        <v>0.1618834507150595</v>
      </c>
    </row>
    <row r="19" spans="1:6" x14ac:dyDescent="0.25">
      <c r="A19" s="3">
        <f t="shared" si="3"/>
        <v>7</v>
      </c>
      <c r="B19" s="3">
        <f t="shared" si="4"/>
        <v>7</v>
      </c>
      <c r="C19" s="3">
        <f t="shared" si="5"/>
        <v>3.3701879804245229</v>
      </c>
      <c r="D19" s="3">
        <f t="shared" si="0"/>
        <v>0.50327356267393952</v>
      </c>
      <c r="E19" s="3">
        <f t="shared" si="1"/>
        <v>3.571558090880552</v>
      </c>
      <c r="F19" s="3">
        <f t="shared" si="2"/>
        <v>0.20137011045602904</v>
      </c>
    </row>
    <row r="20" spans="1:6" x14ac:dyDescent="0.25">
      <c r="A20" s="3">
        <f t="shared" si="3"/>
        <v>8</v>
      </c>
      <c r="B20" s="3">
        <f t="shared" si="4"/>
        <v>8</v>
      </c>
      <c r="C20" s="3">
        <f t="shared" si="5"/>
        <v>3.8734615430984625</v>
      </c>
      <c r="D20" s="3">
        <f t="shared" si="0"/>
        <v>0.54909938648925538</v>
      </c>
      <c r="E20" s="3">
        <f t="shared" si="1"/>
        <v>4.1176160845258813</v>
      </c>
      <c r="F20" s="3">
        <f t="shared" si="2"/>
        <v>0.24415454142741888</v>
      </c>
    </row>
    <row r="21" spans="1:6" x14ac:dyDescent="0.25">
      <c r="A21" s="3">
        <f t="shared" si="3"/>
        <v>9</v>
      </c>
      <c r="B21" s="3">
        <f t="shared" si="4"/>
        <v>9</v>
      </c>
      <c r="C21" s="3">
        <f t="shared" si="5"/>
        <v>4.4225609295877177</v>
      </c>
      <c r="D21" s="3">
        <f t="shared" si="0"/>
        <v>0.59610891463093674</v>
      </c>
      <c r="E21" s="3">
        <f t="shared" si="1"/>
        <v>4.7126342802333445</v>
      </c>
      <c r="F21" s="3">
        <f t="shared" si="2"/>
        <v>0.29007335064562678</v>
      </c>
    </row>
    <row r="22" spans="1:6" x14ac:dyDescent="0.25">
      <c r="A22" s="3">
        <f t="shared" si="3"/>
        <v>10</v>
      </c>
      <c r="B22" s="3">
        <f t="shared" si="4"/>
        <v>10</v>
      </c>
      <c r="C22" s="3">
        <f t="shared" si="5"/>
        <v>5.0186698442186541</v>
      </c>
      <c r="D22" s="3">
        <f t="shared" si="0"/>
        <v>0.64415082015540925</v>
      </c>
      <c r="E22" s="3">
        <f t="shared" si="1"/>
        <v>5.3576138464997243</v>
      </c>
      <c r="F22" s="3">
        <f t="shared" si="2"/>
        <v>0.33894400228107013</v>
      </c>
    </row>
    <row r="23" spans="1:6" x14ac:dyDescent="0.25">
      <c r="A23" s="3">
        <f t="shared" si="3"/>
        <v>11</v>
      </c>
      <c r="B23" s="3">
        <f t="shared" si="4"/>
        <v>11</v>
      </c>
      <c r="C23" s="3">
        <f t="shared" si="5"/>
        <v>5.6628206643740633</v>
      </c>
      <c r="D23" s="3">
        <f t="shared" si="0"/>
        <v>0.69307450009367033</v>
      </c>
      <c r="E23" s="3">
        <f t="shared" si="1"/>
        <v>6.0533889005751584</v>
      </c>
      <c r="F23" s="3">
        <f t="shared" si="2"/>
        <v>0.39056823620109515</v>
      </c>
    </row>
    <row r="24" spans="1:6" x14ac:dyDescent="0.25">
      <c r="A24" s="3">
        <f t="shared" si="3"/>
        <v>12</v>
      </c>
      <c r="B24" s="3">
        <f t="shared" si="4"/>
        <v>12</v>
      </c>
      <c r="C24" s="3">
        <f t="shared" si="5"/>
        <v>6.3558951644677339</v>
      </c>
      <c r="D24" s="3">
        <f t="shared" si="0"/>
        <v>0.74273105338911849</v>
      </c>
      <c r="E24" s="3">
        <f t="shared" si="1"/>
        <v>6.8006304133379958</v>
      </c>
      <c r="F24" s="3">
        <f t="shared" si="2"/>
        <v>0.44473524887026183</v>
      </c>
    </row>
    <row r="25" spans="1:6" x14ac:dyDescent="0.25">
      <c r="A25" s="3">
        <f t="shared" si="3"/>
        <v>13</v>
      </c>
      <c r="B25" s="3">
        <f t="shared" si="4"/>
        <v>13</v>
      </c>
      <c r="C25" s="3">
        <f t="shared" si="5"/>
        <v>7.098626217856852</v>
      </c>
      <c r="D25" s="3">
        <f t="shared" si="0"/>
        <v>0.79297413264869787</v>
      </c>
      <c r="E25" s="3">
        <f t="shared" si="1"/>
        <v>7.5998508473779669</v>
      </c>
      <c r="F25" s="3">
        <f t="shared" si="2"/>
        <v>0.50122462952111491</v>
      </c>
    </row>
    <row r="26" spans="1:6" x14ac:dyDescent="0.25">
      <c r="A26" s="3">
        <f t="shared" si="3"/>
        <v>14</v>
      </c>
      <c r="B26" s="3">
        <f t="shared" si="4"/>
        <v>14</v>
      </c>
      <c r="C26" s="3">
        <f t="shared" si="5"/>
        <v>7.8916003505055503</v>
      </c>
      <c r="D26" s="3">
        <f t="shared" si="0"/>
        <v>0.8436606791944059</v>
      </c>
      <c r="E26" s="3">
        <f t="shared" si="1"/>
        <v>8.4514094006380613</v>
      </c>
      <c r="F26" s="3">
        <f t="shared" si="2"/>
        <v>0.55980905013251103</v>
      </c>
    </row>
    <row r="27" spans="1:6" x14ac:dyDescent="0.25">
      <c r="A27" s="3">
        <f t="shared" si="3"/>
        <v>15</v>
      </c>
      <c r="B27" s="3">
        <f t="shared" si="4"/>
        <v>15</v>
      </c>
      <c r="C27" s="3">
        <f t="shared" si="5"/>
        <v>8.7352610296999558</v>
      </c>
      <c r="D27" s="3">
        <f t="shared" si="0"/>
        <v>0.89465155070491353</v>
      </c>
      <c r="E27" s="3">
        <f t="shared" si="1"/>
        <v>9.3555177417655226</v>
      </c>
      <c r="F27" s="3">
        <f t="shared" si="2"/>
        <v>0.62025671206556687</v>
      </c>
    </row>
    <row r="28" spans="1:6" x14ac:dyDescent="0.25">
      <c r="A28" s="3">
        <f t="shared" si="3"/>
        <v>16</v>
      </c>
      <c r="B28" s="3">
        <f t="shared" si="4"/>
        <v>16</v>
      </c>
      <c r="C28" s="3">
        <f t="shared" si="5"/>
        <v>9.62991258040487</v>
      </c>
      <c r="D28" s="3">
        <f t="shared" si="0"/>
        <v>0.94581205043574357</v>
      </c>
      <c r="E28" s="3">
        <f t="shared" si="1"/>
        <v>10.312246135870794</v>
      </c>
      <c r="F28" s="3">
        <f t="shared" si="2"/>
        <v>0.68233355546592378</v>
      </c>
    </row>
    <row r="29" spans="1:6" x14ac:dyDescent="0.25">
      <c r="A29" s="3">
        <f t="shared" si="3"/>
        <v>17</v>
      </c>
      <c r="B29" s="3">
        <f t="shared" si="4"/>
        <v>17</v>
      </c>
      <c r="C29" s="3">
        <f t="shared" si="5"/>
        <v>10.575724630840613</v>
      </c>
      <c r="D29" s="3">
        <f t="shared" si="0"/>
        <v>0.99701236663301551</v>
      </c>
      <c r="E29" s="3">
        <f t="shared" si="1"/>
        <v>11.32152987079475</v>
      </c>
      <c r="F29" s="3">
        <f t="shared" si="2"/>
        <v>0.74580523995413728</v>
      </c>
    </row>
    <row r="30" spans="1:6" x14ac:dyDescent="0.25">
      <c r="A30" s="3">
        <f t="shared" si="3"/>
        <v>18</v>
      </c>
      <c r="B30" s="3">
        <f t="shared" si="4"/>
        <v>18</v>
      </c>
      <c r="C30" s="3">
        <f t="shared" si="5"/>
        <v>11.572736997473628</v>
      </c>
      <c r="D30" s="3">
        <f t="shared" si="0"/>
        <v>1.0481279303346369</v>
      </c>
      <c r="E30" s="3">
        <f t="shared" si="1"/>
        <v>12.38317590433323</v>
      </c>
      <c r="F30" s="3">
        <f t="shared" si="2"/>
        <v>0.81043890685960207</v>
      </c>
    </row>
    <row r="31" spans="1:6" x14ac:dyDescent="0.25">
      <c r="A31" s="3">
        <f t="shared" si="3"/>
        <v>19</v>
      </c>
      <c r="B31" s="3">
        <f t="shared" si="4"/>
        <v>19</v>
      </c>
      <c r="C31" s="3">
        <f t="shared" si="5"/>
        <v>12.620864927808265</v>
      </c>
      <c r="D31" s="3">
        <f t="shared" si="0"/>
        <v>1.0990396993025611</v>
      </c>
      <c r="E31" s="3">
        <f t="shared" si="1"/>
        <v>13.496869662252982</v>
      </c>
      <c r="F31" s="3">
        <f t="shared" si="2"/>
        <v>0.8760047344447166</v>
      </c>
    </row>
    <row r="32" spans="1:6" x14ac:dyDescent="0.25">
      <c r="A32" s="3">
        <f t="shared" si="3"/>
        <v>20</v>
      </c>
      <c r="B32" s="3">
        <f t="shared" si="4"/>
        <v>20</v>
      </c>
      <c r="C32" s="3">
        <f t="shared" si="5"/>
        <v>13.719904627110825</v>
      </c>
      <c r="D32" s="3">
        <f t="shared" si="0"/>
        <v>1.1496343753646061</v>
      </c>
      <c r="E32" s="3">
        <f t="shared" si="1"/>
        <v>14.66218192543435</v>
      </c>
      <c r="F32" s="3">
        <f t="shared" si="2"/>
        <v>0.9422772983235248</v>
      </c>
    </row>
    <row r="33" spans="1:6" x14ac:dyDescent="0.25">
      <c r="A33" s="3">
        <f t="shared" si="3"/>
        <v>21</v>
      </c>
      <c r="B33" s="3">
        <f t="shared" si="4"/>
        <v>21</v>
      </c>
      <c r="C33" s="3">
        <f t="shared" si="5"/>
        <v>14.869539002475431</v>
      </c>
      <c r="D33" s="3">
        <f t="shared" si="0"/>
        <v>1.1998045619750211</v>
      </c>
      <c r="E33" s="3">
        <f t="shared" si="1"/>
        <v>15.878575752169015</v>
      </c>
      <c r="F33" s="3">
        <f t="shared" si="2"/>
        <v>1.0090367496935837</v>
      </c>
    </row>
    <row r="34" spans="1:6" x14ac:dyDescent="0.25">
      <c r="A34" s="3">
        <f t="shared" si="3"/>
        <v>22</v>
      </c>
      <c r="B34" s="3">
        <f t="shared" si="4"/>
        <v>22</v>
      </c>
      <c r="C34" s="3">
        <f t="shared" si="5"/>
        <v>16.069343564450453</v>
      </c>
      <c r="D34" s="3">
        <f t="shared" si="0"/>
        <v>1.2494488683375311</v>
      </c>
      <c r="E34" s="3">
        <f t="shared" si="1"/>
        <v>17.145413388593727</v>
      </c>
      <c r="F34" s="3">
        <f t="shared" si="2"/>
        <v>1.0760698241432749</v>
      </c>
    </row>
    <row r="35" spans="1:6" x14ac:dyDescent="0.25">
      <c r="A35" s="3">
        <f t="shared" si="3"/>
        <v>23</v>
      </c>
      <c r="B35" s="3">
        <f t="shared" si="4"/>
        <v>23</v>
      </c>
      <c r="C35" s="3">
        <f t="shared" si="5"/>
        <v>17.318792432787983</v>
      </c>
      <c r="D35" s="3">
        <f t="shared" si="0"/>
        <v>1.2984719659790294</v>
      </c>
      <c r="E35" s="3">
        <f t="shared" si="1"/>
        <v>18.461963126516665</v>
      </c>
      <c r="F35" s="3">
        <f t="shared" si="2"/>
        <v>1.1431706937286812</v>
      </c>
    </row>
    <row r="36" spans="1:6" x14ac:dyDescent="0.25">
      <c r="A36" s="3">
        <f t="shared" si="3"/>
        <v>24</v>
      </c>
      <c r="B36" s="3">
        <f t="shared" si="4"/>
        <v>24</v>
      </c>
      <c r="C36" s="3">
        <f t="shared" si="5"/>
        <v>18.617264398767013</v>
      </c>
      <c r="D36" s="3">
        <f t="shared" si="0"/>
        <v>1.3467846032206332</v>
      </c>
      <c r="E36" s="3">
        <f t="shared" si="1"/>
        <v>19.827406073550513</v>
      </c>
      <c r="F36" s="3">
        <f t="shared" si="2"/>
        <v>1.2101416747835003</v>
      </c>
    </row>
    <row r="37" spans="1:6" x14ac:dyDescent="0.25">
      <c r="A37" s="3">
        <f t="shared" si="3"/>
        <v>25</v>
      </c>
      <c r="B37" s="3">
        <f t="shared" si="4"/>
        <v>25</v>
      </c>
      <c r="C37" s="3">
        <f t="shared" si="5"/>
        <v>19.964049001987647</v>
      </c>
      <c r="D37" s="3">
        <f t="shared" si="0"/>
        <v>1.3943035825686336</v>
      </c>
      <c r="E37" s="3">
        <f t="shared" si="1"/>
        <v>21.240842805557648</v>
      </c>
      <c r="F37" s="3">
        <f t="shared" si="2"/>
        <v>1.2767938035700013</v>
      </c>
    </row>
    <row r="38" spans="1:6" x14ac:dyDescent="0.25">
      <c r="A38" s="3">
        <f t="shared" si="3"/>
        <v>26</v>
      </c>
      <c r="B38" s="3">
        <f t="shared" si="4"/>
        <v>26</v>
      </c>
      <c r="C38" s="3">
        <f t="shared" si="5"/>
        <v>21.358352584556279</v>
      </c>
      <c r="D38" s="3">
        <f t="shared" si="0"/>
        <v>1.440951705642965</v>
      </c>
      <c r="E38" s="3">
        <f t="shared" si="1"/>
        <v>22.701299875989246</v>
      </c>
      <c r="F38" s="3">
        <f t="shared" si="2"/>
        <v>1.3429472914329672</v>
      </c>
    </row>
    <row r="39" spans="1:6" x14ac:dyDescent="0.25">
      <c r="A39" s="3">
        <f t="shared" si="3"/>
        <v>27</v>
      </c>
      <c r="B39" s="3">
        <f t="shared" si="4"/>
        <v>27</v>
      </c>
      <c r="C39" s="3">
        <f t="shared" si="5"/>
        <v>22.799304290199245</v>
      </c>
      <c r="D39" s="3">
        <f t="shared" si="0"/>
        <v>1.4866576898764892</v>
      </c>
      <c r="E39" s="3">
        <f t="shared" si="1"/>
        <v>24.207736160804689</v>
      </c>
      <c r="F39" s="3">
        <f t="shared" si="2"/>
        <v>1.4084318706054439</v>
      </c>
    </row>
    <row r="40" spans="1:6" x14ac:dyDescent="0.25">
      <c r="A40" s="3">
        <f t="shared" si="3"/>
        <v>28</v>
      </c>
      <c r="B40" s="3">
        <f t="shared" si="4"/>
        <v>28</v>
      </c>
      <c r="C40" s="3">
        <f t="shared" si="5"/>
        <v>24.285961980075733</v>
      </c>
      <c r="D40" s="3">
        <f t="shared" si="0"/>
        <v>1.5313560608553947</v>
      </c>
      <c r="E40" s="3">
        <f t="shared" si="1"/>
        <v>25.759049021333389</v>
      </c>
      <c r="F40" s="3">
        <f t="shared" si="2"/>
        <v>1.4730870412576564</v>
      </c>
    </row>
    <row r="41" spans="1:6" x14ac:dyDescent="0.25">
      <c r="A41" s="3">
        <f t="shared" si="3"/>
        <v>29</v>
      </c>
      <c r="B41" s="3">
        <f t="shared" si="4"/>
        <v>29</v>
      </c>
      <c r="C41" s="3">
        <f t="shared" si="5"/>
        <v>25.817318040931127</v>
      </c>
      <c r="D41" s="3">
        <f t="shared" si="0"/>
        <v>1.5749870238294961</v>
      </c>
      <c r="E41" s="3">
        <f t="shared" si="1"/>
        <v>27.354080270725802</v>
      </c>
      <c r="F41" s="3">
        <f t="shared" si="2"/>
        <v>1.5367622297946752</v>
      </c>
    </row>
    <row r="42" spans="1:6" x14ac:dyDescent="0.25">
      <c r="A42" s="3">
        <f t="shared" si="3"/>
        <v>30</v>
      </c>
      <c r="B42" s="3">
        <f t="shared" si="4"/>
        <v>30</v>
      </c>
      <c r="C42" s="3">
        <f t="shared" si="5"/>
        <v>27.392305064760624</v>
      </c>
      <c r="D42" s="3">
        <f t="shared" si="0"/>
        <v>1.6174963176011754</v>
      </c>
      <c r="E42" s="3">
        <f t="shared" si="1"/>
        <v>28.991621932568869</v>
      </c>
      <c r="F42" s="3">
        <f t="shared" si="2"/>
        <v>1.5993168678082448</v>
      </c>
    </row>
    <row r="43" spans="1:6" x14ac:dyDescent="0.25">
      <c r="A43" s="3">
        <f t="shared" si="3"/>
        <v>31</v>
      </c>
      <c r="B43" s="3">
        <f t="shared" si="4"/>
        <v>31</v>
      </c>
      <c r="C43" s="3">
        <f t="shared" si="5"/>
        <v>29.0098013823618</v>
      </c>
      <c r="D43" s="3">
        <f t="shared" si="0"/>
        <v>1.6588350537027159</v>
      </c>
      <c r="E43" s="3">
        <f t="shared" si="1"/>
        <v>30.670421782845811</v>
      </c>
      <c r="F43" s="3">
        <f t="shared" si="2"/>
        <v>1.6606204004840102</v>
      </c>
    </row>
    <row r="44" spans="1:6" x14ac:dyDescent="0.25">
      <c r="A44" s="3">
        <f t="shared" si="3"/>
        <v>32</v>
      </c>
      <c r="B44" s="3">
        <f t="shared" si="4"/>
        <v>32</v>
      </c>
      <c r="C44" s="3">
        <f t="shared" si="5"/>
        <v>30.668636436064517</v>
      </c>
      <c r="D44" s="3">
        <f t="shared" si="0"/>
        <v>1.6989595434932308</v>
      </c>
      <c r="E44" s="3">
        <f t="shared" si="1"/>
        <v>32.389188668730313</v>
      </c>
      <c r="F44" s="3">
        <f t="shared" si="2"/>
        <v>1.7205522326657956</v>
      </c>
    </row>
    <row r="45" spans="1:6" x14ac:dyDescent="0.25">
      <c r="A45" s="3">
        <f t="shared" si="3"/>
        <v>33</v>
      </c>
      <c r="B45" s="3">
        <f t="shared" si="4"/>
        <v>33</v>
      </c>
      <c r="C45" s="3">
        <f t="shared" si="5"/>
        <v>32.367595979557748</v>
      </c>
      <c r="D45" s="3">
        <f t="shared" si="0"/>
        <v>1.7378311155476962</v>
      </c>
      <c r="E45" s="3">
        <f t="shared" si="1"/>
        <v>34.146597599748063</v>
      </c>
      <c r="F45" s="3">
        <f t="shared" si="2"/>
        <v>1.7790016201903143</v>
      </c>
    </row>
    <row r="46" spans="1:6" x14ac:dyDescent="0.25">
      <c r="A46" s="3">
        <f t="shared" si="3"/>
        <v>34</v>
      </c>
      <c r="B46" s="3">
        <f t="shared" si="4"/>
        <v>34</v>
      </c>
      <c r="C46" s="3">
        <f t="shared" si="5"/>
        <v>34.105427095105448</v>
      </c>
      <c r="D46" s="3">
        <f t="shared" si="0"/>
        <v>1.7754159254707829</v>
      </c>
      <c r="E46" s="3">
        <f t="shared" si="1"/>
        <v>35.941294608639659</v>
      </c>
      <c r="F46" s="3">
        <f t="shared" si="2"/>
        <v>1.8358675135342111</v>
      </c>
    </row>
    <row r="47" spans="1:6" x14ac:dyDescent="0.25">
      <c r="A47" s="3">
        <f t="shared" si="3"/>
        <v>35</v>
      </c>
      <c r="B47" s="3">
        <f t="shared" si="4"/>
        <v>35</v>
      </c>
      <c r="C47" s="3">
        <f t="shared" si="5"/>
        <v>35.880843020576229</v>
      </c>
      <c r="D47" s="3">
        <f t="shared" si="0"/>
        <v>1.8116847600465487</v>
      </c>
      <c r="E47" s="3">
        <f t="shared" si="1"/>
        <v>37.771901380838671</v>
      </c>
      <c r="F47" s="3">
        <f t="shared" si="2"/>
        <v>1.8910583602624413</v>
      </c>
    </row>
    <row r="48" spans="1:6" x14ac:dyDescent="0.25">
      <c r="A48" s="3">
        <f t="shared" si="3"/>
        <v>36</v>
      </c>
      <c r="B48" s="3">
        <f t="shared" si="4"/>
        <v>36</v>
      </c>
      <c r="C48" s="3">
        <f t="shared" si="5"/>
        <v>37.692527780622775</v>
      </c>
      <c r="D48" s="3">
        <f t="shared" si="0"/>
        <v>1.846612837430506</v>
      </c>
      <c r="E48" s="3">
        <f t="shared" si="1"/>
        <v>39.63701965286176</v>
      </c>
      <c r="F48" s="3">
        <f t="shared" si="2"/>
        <v>1.9444918722389843</v>
      </c>
    </row>
    <row r="49" spans="1:6" x14ac:dyDescent="0.25">
      <c r="A49" s="3">
        <f t="shared" si="3"/>
        <v>37</v>
      </c>
      <c r="B49" s="3">
        <f t="shared" si="4"/>
        <v>37</v>
      </c>
      <c r="C49" s="3">
        <f t="shared" si="5"/>
        <v>39.539140618053281</v>
      </c>
      <c r="D49" s="3">
        <f t="shared" si="0"/>
        <v>1.8801796049023474</v>
      </c>
      <c r="E49" s="3">
        <f t="shared" si="1"/>
        <v>41.535235381108961</v>
      </c>
      <c r="F49" s="3">
        <f t="shared" si="2"/>
        <v>1.9960947630556802</v>
      </c>
    </row>
    <row r="50" spans="1:6" x14ac:dyDescent="0.25">
      <c r="A50" s="3">
        <f t="shared" si="3"/>
        <v>38</v>
      </c>
      <c r="B50" s="3">
        <f t="shared" si="4"/>
        <v>38</v>
      </c>
      <c r="C50" s="3">
        <f t="shared" si="5"/>
        <v>41.419320222955626</v>
      </c>
      <c r="D50" s="3">
        <f t="shared" si="0"/>
        <v>1.9123685355246354</v>
      </c>
      <c r="E50" s="3">
        <f t="shared" si="1"/>
        <v>43.465122683611796</v>
      </c>
      <c r="F50" s="3">
        <f t="shared" si="2"/>
        <v>2.0458024606561693</v>
      </c>
    </row>
    <row r="51" spans="1:6" x14ac:dyDescent="0.25">
      <c r="A51" s="3">
        <f t="shared" si="3"/>
        <v>39</v>
      </c>
      <c r="B51" s="3">
        <f t="shared" si="4"/>
        <v>39</v>
      </c>
      <c r="C51" s="3">
        <f t="shared" si="5"/>
        <v>43.331688758480261</v>
      </c>
      <c r="D51" s="3">
        <f t="shared" si="0"/>
        <v>1.943166924894191</v>
      </c>
      <c r="E51" s="3">
        <f t="shared" si="1"/>
        <v>45.425247558162049</v>
      </c>
      <c r="F51" s="3">
        <f t="shared" si="2"/>
        <v>2.0935587996817873</v>
      </c>
    </row>
    <row r="52" spans="1:6" x14ac:dyDescent="0.25">
      <c r="A52" s="3">
        <f t="shared" si="3"/>
        <v>40</v>
      </c>
      <c r="B52" s="3">
        <f t="shared" si="4"/>
        <v>40</v>
      </c>
      <c r="C52" s="3">
        <f t="shared" si="5"/>
        <v>45.274855683374454</v>
      </c>
      <c r="D52" s="3">
        <f t="shared" si="0"/>
        <v>1.9725656890277818</v>
      </c>
      <c r="E52" s="3">
        <f t="shared" si="1"/>
        <v>47.414171381012579</v>
      </c>
      <c r="F52" s="3">
        <f t="shared" si="2"/>
        <v>2.1393156976381249</v>
      </c>
    </row>
    <row r="53" spans="1:6" x14ac:dyDescent="0.25">
      <c r="A53" s="3">
        <f t="shared" si="3"/>
        <v>41</v>
      </c>
      <c r="B53" s="3">
        <f t="shared" si="4"/>
        <v>41</v>
      </c>
      <c r="C53" s="3">
        <f t="shared" si="5"/>
        <v>47.247421372402236</v>
      </c>
      <c r="D53" s="3">
        <f t="shared" si="0"/>
        <v>2.0005591642912011</v>
      </c>
      <c r="E53" s="3">
        <f t="shared" si="1"/>
        <v>49.430454190987213</v>
      </c>
      <c r="F53" s="3">
        <f t="shared" si="2"/>
        <v>2.1830328185849766</v>
      </c>
    </row>
    <row r="54" spans="1:6" x14ac:dyDescent="0.25">
      <c r="A54" s="3">
        <f t="shared" si="3"/>
        <v>42</v>
      </c>
      <c r="B54" s="3">
        <f t="shared" si="4"/>
        <v>42</v>
      </c>
      <c r="C54" s="3">
        <f t="shared" si="5"/>
        <v>49.24798053669344</v>
      </c>
      <c r="D54" s="3">
        <f t="shared" si="0"/>
        <v>2.0271449101599948</v>
      </c>
      <c r="E54" s="3">
        <f t="shared" si="1"/>
        <v>51.472657764372279</v>
      </c>
      <c r="F54" s="3">
        <f t="shared" si="2"/>
        <v>2.2246772276788391</v>
      </c>
    </row>
    <row r="55" spans="1:6" x14ac:dyDescent="0.25">
      <c r="A55" s="3">
        <f t="shared" si="3"/>
        <v>43</v>
      </c>
      <c r="B55" s="3">
        <f t="shared" si="4"/>
        <v>43</v>
      </c>
      <c r="C55" s="3">
        <f t="shared" si="5"/>
        <v>51.275125446853437</v>
      </c>
      <c r="D55" s="3">
        <f t="shared" si="0"/>
        <v>2.0523235154902548</v>
      </c>
      <c r="E55" s="3">
        <f t="shared" si="1"/>
        <v>53.539348486403277</v>
      </c>
      <c r="F55" s="3">
        <f t="shared" si="2"/>
        <v>2.2642230395498402</v>
      </c>
    </row>
    <row r="56" spans="1:6" x14ac:dyDescent="0.25">
      <c r="A56" s="3">
        <f t="shared" si="3"/>
        <v>44</v>
      </c>
      <c r="B56" s="3">
        <f t="shared" si="4"/>
        <v>44</v>
      </c>
      <c r="C56" s="3">
        <f t="shared" si="5"/>
        <v>53.327448962343695</v>
      </c>
      <c r="D56" s="3">
        <f t="shared" si="0"/>
        <v>2.076098408878106</v>
      </c>
      <c r="E56" s="3">
        <f t="shared" si="1"/>
        <v>55.629100025517815</v>
      </c>
      <c r="F56" s="3">
        <f t="shared" si="2"/>
        <v>2.3016510631741198</v>
      </c>
    </row>
    <row r="57" spans="1:6" x14ac:dyDescent="0.25">
      <c r="A57" s="3">
        <f t="shared" si="3"/>
        <v>45</v>
      </c>
      <c r="B57" s="3">
        <f t="shared" si="4"/>
        <v>45</v>
      </c>
      <c r="C57" s="3">
        <f t="shared" si="5"/>
        <v>55.403547371221798</v>
      </c>
      <c r="D57" s="3">
        <f t="shared" si="0"/>
        <v>2.0984756735961851</v>
      </c>
      <c r="E57" s="3">
        <f t="shared" si="1"/>
        <v>57.740495816825103</v>
      </c>
      <c r="F57" s="3">
        <f t="shared" si="2"/>
        <v>2.3369484456033049</v>
      </c>
    </row>
    <row r="58" spans="1:6" x14ac:dyDescent="0.25">
      <c r="A58" s="3">
        <f t="shared" si="3"/>
        <v>46</v>
      </c>
      <c r="B58" s="3">
        <f t="shared" si="4"/>
        <v>46</v>
      </c>
      <c r="C58" s="3">
        <f t="shared" si="5"/>
        <v>57.502023044817982</v>
      </c>
      <c r="D58" s="3">
        <f t="shared" si="0"/>
        <v>2.1194638675137605</v>
      </c>
      <c r="E58" s="3">
        <f t="shared" si="1"/>
        <v>59.87213136145516</v>
      </c>
      <c r="F58" s="3">
        <f t="shared" si="2"/>
        <v>2.3701083166371788</v>
      </c>
    </row>
    <row r="59" spans="1:6" x14ac:dyDescent="0.25">
      <c r="A59" s="3">
        <f t="shared" si="3"/>
        <v>47</v>
      </c>
      <c r="B59" s="3">
        <f t="shared" si="4"/>
        <v>47</v>
      </c>
      <c r="C59" s="3">
        <f t="shared" si="5"/>
        <v>59.62148691233174</v>
      </c>
      <c r="D59" s="3">
        <f t="shared" si="0"/>
        <v>2.1390738483334761</v>
      </c>
      <c r="E59" s="3">
        <f t="shared" si="1"/>
        <v>62.022616348604565</v>
      </c>
      <c r="F59" s="3">
        <f t="shared" si="2"/>
        <v>2.401129436272825</v>
      </c>
    </row>
    <row r="60" spans="1:6" x14ac:dyDescent="0.25">
      <c r="A60" s="3">
        <f t="shared" si="3"/>
        <v>48</v>
      </c>
      <c r="B60" s="3">
        <f t="shared" si="4"/>
        <v>48</v>
      </c>
      <c r="C60" s="3">
        <f t="shared" si="5"/>
        <v>61.760560760665214</v>
      </c>
      <c r="D60" s="3">
        <f t="shared" si="0"/>
        <v>2.157318604411524</v>
      </c>
      <c r="E60" s="3">
        <f t="shared" si="1"/>
        <v>64.190576607194032</v>
      </c>
      <c r="F60" s="3">
        <f t="shared" si="2"/>
        <v>2.4300158465288177</v>
      </c>
    </row>
    <row r="61" spans="1:6" x14ac:dyDescent="0.25">
      <c r="A61" s="3">
        <f t="shared" si="3"/>
        <v>49</v>
      </c>
      <c r="B61" s="3">
        <f t="shared" si="4"/>
        <v>49</v>
      </c>
      <c r="C61" s="3">
        <f t="shared" si="5"/>
        <v>63.917879365076736</v>
      </c>
      <c r="D61" s="3">
        <f t="shared" si="0"/>
        <v>2.1742130913686362</v>
      </c>
      <c r="E61" s="3">
        <f t="shared" si="1"/>
        <v>66.374655894107804</v>
      </c>
      <c r="F61" s="3">
        <f t="shared" si="2"/>
        <v>2.4567765290310675</v>
      </c>
    </row>
    <row r="62" spans="1:6" x14ac:dyDescent="0.25">
      <c r="A62" s="3">
        <f t="shared" si="3"/>
        <v>50</v>
      </c>
      <c r="B62" s="3">
        <f t="shared" si="4"/>
        <v>50</v>
      </c>
      <c r="C62" s="3">
        <f t="shared" si="5"/>
        <v>66.092092456445371</v>
      </c>
      <c r="D62" s="3">
        <f t="shared" si="0"/>
        <v>2.1897740746461047</v>
      </c>
      <c r="E62" s="3">
        <f t="shared" si="1"/>
        <v>68.573517525994632</v>
      </c>
      <c r="F62" s="3">
        <f t="shared" si="2"/>
        <v>2.4814250695492603</v>
      </c>
    </row>
    <row r="63" spans="1:6" x14ac:dyDescent="0.25">
      <c r="A63" s="3">
        <f t="shared" si="3"/>
        <v>51</v>
      </c>
      <c r="B63" s="3">
        <f t="shared" si="4"/>
        <v>51</v>
      </c>
      <c r="C63" s="3">
        <f t="shared" si="5"/>
        <v>68.281866531091481</v>
      </c>
      <c r="D63" s="3">
        <f t="shared" si="0"/>
        <v>2.2040199781137786</v>
      </c>
      <c r="E63" s="3">
        <f t="shared" si="1"/>
        <v>70.785845861588285</v>
      </c>
      <c r="F63" s="3">
        <f t="shared" si="2"/>
        <v>2.5039793304968043</v>
      </c>
    </row>
    <row r="64" spans="1:6" x14ac:dyDescent="0.25">
      <c r="A64" s="3">
        <f t="shared" si="3"/>
        <v>52</v>
      </c>
      <c r="B64" s="3">
        <f t="shared" si="4"/>
        <v>52</v>
      </c>
      <c r="C64" s="3">
        <f t="shared" si="5"/>
        <v>70.485886509205258</v>
      </c>
      <c r="D64" s="3">
        <f t="shared" si="0"/>
        <v>2.2169707387947484</v>
      </c>
      <c r="E64" s="3">
        <f t="shared" si="1"/>
        <v>73.010347641449798</v>
      </c>
      <c r="F64" s="3">
        <f t="shared" si="2"/>
        <v>2.5244611322445394</v>
      </c>
    </row>
    <row r="65" spans="1:6" x14ac:dyDescent="0.25">
      <c r="A65" s="3">
        <f t="shared" si="3"/>
        <v>53</v>
      </c>
      <c r="B65" s="3">
        <f t="shared" si="4"/>
        <v>53</v>
      </c>
      <c r="C65" s="3">
        <f t="shared" si="5"/>
        <v>72.702857248000001</v>
      </c>
      <c r="D65" s="3">
        <f t="shared" si="0"/>
        <v>2.2286476677342786</v>
      </c>
      <c r="E65" s="3">
        <f t="shared" si="1"/>
        <v>75.245753191949689</v>
      </c>
      <c r="F65" s="3">
        <f t="shared" si="2"/>
        <v>2.5428959439496879</v>
      </c>
    </row>
    <row r="66" spans="1:6" x14ac:dyDescent="0.25">
      <c r="A66" s="3">
        <f t="shared" si="3"/>
        <v>54</v>
      </c>
      <c r="B66" s="3">
        <f t="shared" si="4"/>
        <v>54</v>
      </c>
      <c r="C66" s="3">
        <f t="shared" si="5"/>
        <v>74.93150491573428</v>
      </c>
      <c r="D66" s="3">
        <f t="shared" si="0"/>
        <v>2.2390733170076138</v>
      </c>
      <c r="E66" s="3">
        <f t="shared" si="1"/>
        <v>77.490817500206362</v>
      </c>
      <c r="F66" s="3">
        <f t="shared" si="2"/>
        <v>2.5593125844720817</v>
      </c>
    </row>
    <row r="67" spans="1:6" x14ac:dyDescent="0.25">
      <c r="A67" s="3">
        <f t="shared" si="3"/>
        <v>55</v>
      </c>
      <c r="B67" s="3">
        <f t="shared" si="4"/>
        <v>55</v>
      </c>
      <c r="C67" s="3">
        <f t="shared" si="5"/>
        <v>77.170578232741889</v>
      </c>
      <c r="D67" s="3">
        <f t="shared" si="0"/>
        <v>2.2482713528325302</v>
      </c>
      <c r="E67" s="3">
        <f t="shared" si="1"/>
        <v>79.744321166568781</v>
      </c>
      <c r="F67" s="3">
        <f t="shared" si="2"/>
        <v>2.5737429338268925</v>
      </c>
    </row>
    <row r="68" spans="1:6" x14ac:dyDescent="0.25">
      <c r="A68" s="3">
        <f t="shared" si="3"/>
        <v>56</v>
      </c>
      <c r="B68" s="3">
        <f t="shared" si="4"/>
        <v>56</v>
      </c>
      <c r="C68" s="3">
        <f t="shared" si="5"/>
        <v>79.418849585574421</v>
      </c>
      <c r="D68" s="3">
        <f t="shared" si="0"/>
        <v>2.2562664347272583</v>
      </c>
      <c r="E68" s="3">
        <f t="shared" si="1"/>
        <v>82.005071241090803</v>
      </c>
      <c r="F68" s="3">
        <f t="shared" si="2"/>
        <v>2.5862216555163826</v>
      </c>
    </row>
    <row r="69" spans="1:6" x14ac:dyDescent="0.25">
      <c r="A69" s="3">
        <f t="shared" si="3"/>
        <v>57</v>
      </c>
      <c r="B69" s="3">
        <f t="shared" si="4"/>
        <v>57</v>
      </c>
      <c r="C69" s="3">
        <f t="shared" si="5"/>
        <v>81.675116020301672</v>
      </c>
      <c r="D69" s="3">
        <f t="shared" si="0"/>
        <v>2.2630841006326907</v>
      </c>
      <c r="E69" s="3">
        <f t="shared" si="1"/>
        <v>84.271901950289362</v>
      </c>
      <c r="F69" s="3">
        <f t="shared" si="2"/>
        <v>2.5967859299876892</v>
      </c>
    </row>
    <row r="70" spans="1:6" x14ac:dyDescent="0.25">
      <c r="A70" s="3">
        <f t="shared" si="3"/>
        <v>58</v>
      </c>
      <c r="B70" s="3">
        <f t="shared" si="4"/>
        <v>58</v>
      </c>
      <c r="C70" s="3">
        <f t="shared" si="5"/>
        <v>83.938200120934368</v>
      </c>
      <c r="D70" s="3">
        <f t="shared" si="0"/>
        <v>2.2687506578988867</v>
      </c>
      <c r="E70" s="3">
        <f t="shared" si="1"/>
        <v>86.5436753203102</v>
      </c>
      <c r="F70" s="3">
        <f t="shared" si="2"/>
        <v>2.6054751993758316</v>
      </c>
    </row>
    <row r="71" spans="1:6" x14ac:dyDescent="0.25">
      <c r="A71" s="3">
        <f t="shared" si="3"/>
        <v>59</v>
      </c>
      <c r="B71" s="3">
        <f t="shared" si="4"/>
        <v>59</v>
      </c>
      <c r="C71" s="3">
        <f t="shared" si="5"/>
        <v>86.20695077883326</v>
      </c>
      <c r="D71" s="3">
        <f t="shared" si="0"/>
        <v>2.2732930800199447</v>
      </c>
      <c r="E71" s="3">
        <f t="shared" si="1"/>
        <v>88.819281702448691</v>
      </c>
      <c r="F71" s="3">
        <f t="shared" si="2"/>
        <v>2.6123309236154313</v>
      </c>
    </row>
    <row r="72" spans="1:6" x14ac:dyDescent="0.25">
      <c r="A72" s="3">
        <f t="shared" si="3"/>
        <v>60</v>
      </c>
      <c r="B72" s="3">
        <f t="shared" si="4"/>
        <v>60</v>
      </c>
      <c r="C72" s="3">
        <f t="shared" si="5"/>
        <v>88.4802438588532</v>
      </c>
      <c r="D72" s="3">
        <f t="shared" si="0"/>
        <v>2.2767389089876646</v>
      </c>
      <c r="E72" s="3">
        <f t="shared" si="1"/>
        <v>91.097640206791141</v>
      </c>
      <c r="F72" s="3">
        <f t="shared" si="2"/>
        <v>2.617396347937941</v>
      </c>
    </row>
    <row r="73" spans="1:6" x14ac:dyDescent="0.25">
      <c r="A73" s="3">
        <f t="shared" si="3"/>
        <v>61</v>
      </c>
      <c r="B73" s="3">
        <f t="shared" si="4"/>
        <v>61</v>
      </c>
      <c r="C73" s="3">
        <f t="shared" si="5"/>
        <v>90.756982767840867</v>
      </c>
      <c r="D73" s="3">
        <f t="shared" si="0"/>
        <v>2.2791161631232106</v>
      </c>
      <c r="E73" s="3">
        <f t="shared" si="1"/>
        <v>93.377699049549577</v>
      </c>
      <c r="F73" s="3">
        <f t="shared" si="2"/>
        <v>2.6207162817087095</v>
      </c>
    </row>
    <row r="74" spans="1:6" x14ac:dyDescent="0.25">
      <c r="A74" s="3">
        <f t="shared" si="3"/>
        <v>62</v>
      </c>
      <c r="B74" s="3">
        <f t="shared" si="4"/>
        <v>62</v>
      </c>
      <c r="C74" s="3">
        <f t="shared" si="5"/>
        <v>93.036098930964073</v>
      </c>
      <c r="D74" s="3">
        <f t="shared" si="0"/>
        <v>2.2804532502365502</v>
      </c>
      <c r="E74" s="3">
        <f t="shared" si="1"/>
        <v>95.65843581947334</v>
      </c>
      <c r="F74" s="3">
        <f t="shared" si="2"/>
        <v>2.6223368885092668</v>
      </c>
    </row>
    <row r="75" spans="1:6" x14ac:dyDescent="0.25">
      <c r="A75" s="3">
        <f t="shared" si="3"/>
        <v>63</v>
      </c>
      <c r="B75" s="3">
        <f t="shared" si="4"/>
        <v>63</v>
      </c>
      <c r="C75" s="3">
        <f t="shared" si="5"/>
        <v>95.31655218120062</v>
      </c>
      <c r="D75" s="3">
        <f t="shared" si="0"/>
        <v>2.2807788859561153</v>
      </c>
      <c r="E75" s="3">
        <f t="shared" si="1"/>
        <v>97.938857668522829</v>
      </c>
      <c r="F75" s="3">
        <f t="shared" si="2"/>
        <v>2.6223054873222083</v>
      </c>
    </row>
    <row r="76" spans="1:6" x14ac:dyDescent="0.25">
      <c r="A76" s="3">
        <f t="shared" si="3"/>
        <v>64</v>
      </c>
      <c r="B76" s="3">
        <f t="shared" si="4"/>
        <v>64</v>
      </c>
      <c r="C76" s="3">
        <f t="shared" si="5"/>
        <v>97.59733106715673</v>
      </c>
      <c r="D76" s="3">
        <f t="shared" ref="D76:D139" si="6">$B$3*C76^(3/4)*(1-(C76/$B$4)^(1/4))</f>
        <v>2.280122017065191</v>
      </c>
      <c r="E76" s="3">
        <f t="shared" ref="E76:E139" si="7">( $B$8 + ($B$9-$B$8)*EXP(-$B$3*B76/(4*$B$8)) )^4</f>
        <v>100.21800143179351</v>
      </c>
      <c r="F76" s="3">
        <f t="shared" ref="F76:F139" si="8">ABS(C76-E76)</f>
        <v>2.6206703646367799</v>
      </c>
    </row>
    <row r="77" spans="1:6" x14ac:dyDescent="0.25">
      <c r="A77" s="3">
        <f t="shared" ref="A77:A140" si="9">A76+1</f>
        <v>65</v>
      </c>
      <c r="B77" s="3">
        <f t="shared" ref="B77:B140" si="10">B76+$B$6</f>
        <v>65</v>
      </c>
      <c r="C77" s="3">
        <f t="shared" ref="C77:C140" si="11">C76+$B$6*D76</f>
        <v>99.877453084221926</v>
      </c>
      <c r="D77" s="3">
        <f t="shared" si="6"/>
        <v>2.2785117496771341</v>
      </c>
      <c r="E77" s="3">
        <f t="shared" si="7"/>
        <v>102.49493368148504</v>
      </c>
      <c r="F77" s="3">
        <f t="shared" si="8"/>
        <v>2.6174805972631106</v>
      </c>
    </row>
    <row r="78" spans="1:6" x14ac:dyDescent="0.25">
      <c r="A78" s="3">
        <f t="shared" si="9"/>
        <v>66</v>
      </c>
      <c r="B78" s="3">
        <f t="shared" si="10"/>
        <v>66</v>
      </c>
      <c r="C78" s="3">
        <f t="shared" si="11"/>
        <v>102.15596483389906</v>
      </c>
      <c r="D78" s="3">
        <f t="shared" si="6"/>
        <v>2.2759772820785296</v>
      </c>
      <c r="E78" s="3">
        <f t="shared" si="7"/>
        <v>104.76875071950661</v>
      </c>
      <c r="F78" s="3">
        <f t="shared" si="8"/>
        <v>2.6127858856075505</v>
      </c>
    </row>
    <row r="79" spans="1:6" x14ac:dyDescent="0.25">
      <c r="A79" s="3">
        <f t="shared" si="9"/>
        <v>67</v>
      </c>
      <c r="B79" s="3">
        <f t="shared" si="10"/>
        <v>67</v>
      </c>
      <c r="C79" s="3">
        <f t="shared" si="11"/>
        <v>104.43194211597759</v>
      </c>
      <c r="D79" s="3">
        <f t="shared" si="6"/>
        <v>2.2725478420673251</v>
      </c>
      <c r="E79" s="3">
        <f t="shared" si="7"/>
        <v>107.03857851312314</v>
      </c>
      <c r="F79" s="3">
        <f t="shared" si="8"/>
        <v>2.6066363971455502</v>
      </c>
    </row>
    <row r="80" spans="1:6" x14ac:dyDescent="0.25">
      <c r="A80" s="3">
        <f t="shared" si="9"/>
        <v>68</v>
      </c>
      <c r="B80" s="3">
        <f t="shared" si="10"/>
        <v>68</v>
      </c>
      <c r="C80" s="3">
        <f t="shared" si="11"/>
        <v>106.70448995804492</v>
      </c>
      <c r="D80" s="3">
        <f t="shared" si="6"/>
        <v>2.2682526286121623</v>
      </c>
      <c r="E80" s="3">
        <f t="shared" si="7"/>
        <v>109.30357257784695</v>
      </c>
      <c r="F80" s="3">
        <f t="shared" si="8"/>
        <v>2.5990826198020329</v>
      </c>
    </row>
    <row r="81" spans="1:6" x14ac:dyDescent="0.25">
      <c r="A81" s="3">
        <f t="shared" si="9"/>
        <v>69</v>
      </c>
      <c r="B81" s="3">
        <f t="shared" si="10"/>
        <v>69</v>
      </c>
      <c r="C81" s="3">
        <f t="shared" si="11"/>
        <v>108.97274258665708</v>
      </c>
      <c r="D81" s="3">
        <f t="shared" si="6"/>
        <v>2.2631207576590788</v>
      </c>
      <c r="E81" s="3">
        <f t="shared" si="7"/>
        <v>111.56291781159464</v>
      </c>
      <c r="F81" s="3">
        <f t="shared" si="8"/>
        <v>2.5901752249375676</v>
      </c>
    </row>
    <row r="82" spans="1:6" x14ac:dyDescent="0.25">
      <c r="A82" s="3">
        <f t="shared" si="9"/>
        <v>70</v>
      </c>
      <c r="B82" s="3">
        <f t="shared" si="10"/>
        <v>70</v>
      </c>
      <c r="C82" s="3">
        <f t="shared" si="11"/>
        <v>111.23586334431616</v>
      </c>
      <c r="D82" s="3">
        <f t="shared" si="6"/>
        <v>2.2571812119125316</v>
      </c>
      <c r="E82" s="3">
        <f t="shared" si="7"/>
        <v>113.81582828393958</v>
      </c>
      <c r="F82" s="3">
        <f t="shared" si="8"/>
        <v>2.579964939623423</v>
      </c>
    </row>
    <row r="83" spans="1:6" x14ac:dyDescent="0.25">
      <c r="A83" s="3">
        <f t="shared" si="9"/>
        <v>71</v>
      </c>
      <c r="B83" s="3">
        <f t="shared" si="10"/>
        <v>71</v>
      </c>
      <c r="C83" s="3">
        <f t="shared" si="11"/>
        <v>113.4930445562287</v>
      </c>
      <c r="D83" s="3">
        <f t="shared" si="6"/>
        <v>2.2504627944191609</v>
      </c>
      <c r="E83" s="3">
        <f t="shared" si="7"/>
        <v>116.06154698410982</v>
      </c>
      <c r="F83" s="3">
        <f t="shared" si="8"/>
        <v>2.5685024278811284</v>
      </c>
    </row>
    <row r="84" spans="1:6" x14ac:dyDescent="0.25">
      <c r="A84" s="3">
        <f t="shared" si="9"/>
        <v>72</v>
      </c>
      <c r="B84" s="3">
        <f t="shared" si="10"/>
        <v>72</v>
      </c>
      <c r="C84" s="3">
        <f t="shared" si="11"/>
        <v>115.74350735064786</v>
      </c>
      <c r="D84" s="3">
        <f t="shared" si="6"/>
        <v>2.2429940857848036</v>
      </c>
      <c r="E84" s="3">
        <f t="shared" si="7"/>
        <v>118.29934553120046</v>
      </c>
      <c r="F84" s="3">
        <f t="shared" si="8"/>
        <v>2.5558381805525983</v>
      </c>
    </row>
    <row r="85" spans="1:6" x14ac:dyDescent="0.25">
      <c r="A85" s="3">
        <f t="shared" si="9"/>
        <v>73</v>
      </c>
      <c r="B85" s="3">
        <f t="shared" si="10"/>
        <v>73</v>
      </c>
      <c r="C85" s="3">
        <f t="shared" si="11"/>
        <v>117.98650143643266</v>
      </c>
      <c r="D85" s="3">
        <f t="shared" si="6"/>
        <v>2.234803404857864</v>
      </c>
      <c r="E85" s="3">
        <f t="shared" si="7"/>
        <v>120.52852384989838</v>
      </c>
      <c r="F85" s="3">
        <f t="shared" si="8"/>
        <v>2.5420224134657161</v>
      </c>
    </row>
    <row r="86" spans="1:6" x14ac:dyDescent="0.25">
      <c r="A86" s="3">
        <f t="shared" si="9"/>
        <v>74</v>
      </c>
      <c r="B86" s="3">
        <f t="shared" si="10"/>
        <v>74</v>
      </c>
      <c r="C86" s="3">
        <f t="shared" si="11"/>
        <v>120.22130484129053</v>
      </c>
      <c r="D86" s="3">
        <f t="shared" si="6"/>
        <v>2.2259187727151555</v>
      </c>
      <c r="E86" s="3">
        <f t="shared" si="7"/>
        <v>122.74840981484554</v>
      </c>
      <c r="F86" s="3">
        <f t="shared" si="8"/>
        <v>2.5271049735550122</v>
      </c>
    </row>
    <row r="87" spans="1:6" x14ac:dyDescent="0.25">
      <c r="A87" s="3">
        <f t="shared" si="9"/>
        <v>75</v>
      </c>
      <c r="B87" s="3">
        <f t="shared" si="10"/>
        <v>75</v>
      </c>
      <c r="C87" s="3">
        <f t="shared" si="11"/>
        <v>122.44722361400569</v>
      </c>
      <c r="D87" s="3">
        <f t="shared" si="6"/>
        <v>2.2163678797898041</v>
      </c>
      <c r="E87" s="3">
        <f t="shared" si="7"/>
        <v>124.95835886660417</v>
      </c>
      <c r="F87" s="3">
        <f t="shared" si="8"/>
        <v>2.5111352525984785</v>
      </c>
    </row>
    <row r="88" spans="1:6" x14ac:dyDescent="0.25">
      <c r="A88" s="3">
        <f t="shared" si="9"/>
        <v>76</v>
      </c>
      <c r="B88" s="3">
        <f t="shared" si="10"/>
        <v>76</v>
      </c>
      <c r="C88" s="3">
        <f t="shared" si="11"/>
        <v>124.66359149379549</v>
      </c>
      <c r="D88" s="3">
        <f t="shared" si="6"/>
        <v>2.2061780559844633</v>
      </c>
      <c r="E88" s="3">
        <f t="shared" si="7"/>
        <v>127.15775360202839</v>
      </c>
      <c r="F88" s="3">
        <f t="shared" si="8"/>
        <v>2.4941621082328993</v>
      </c>
    </row>
    <row r="89" spans="1:6" x14ac:dyDescent="0.25">
      <c r="A89" s="3">
        <f t="shared" si="9"/>
        <v>77</v>
      </c>
      <c r="B89" s="3">
        <f t="shared" si="10"/>
        <v>77</v>
      </c>
      <c r="C89" s="3">
        <f t="shared" si="11"/>
        <v>126.86976954977996</v>
      </c>
      <c r="D89" s="3">
        <f t="shared" si="6"/>
        <v>2.1953762436171842</v>
      </c>
      <c r="E89" s="3">
        <f t="shared" si="7"/>
        <v>129.34600334169133</v>
      </c>
      <c r="F89" s="3">
        <f t="shared" si="8"/>
        <v>2.4762337919113691</v>
      </c>
    </row>
    <row r="90" spans="1:6" x14ac:dyDescent="0.25">
      <c r="A90" s="3">
        <f t="shared" si="9"/>
        <v>78</v>
      </c>
      <c r="B90" s="3">
        <f t="shared" si="10"/>
        <v>78</v>
      </c>
      <c r="C90" s="3">
        <f t="shared" si="11"/>
        <v>129.06514579339714</v>
      </c>
      <c r="D90" s="3">
        <f t="shared" si="6"/>
        <v>2.1839889730513851</v>
      </c>
      <c r="E90" s="3">
        <f t="shared" si="7"/>
        <v>131.52254367686962</v>
      </c>
      <c r="F90" s="3">
        <f t="shared" si="8"/>
        <v>2.4573978834724812</v>
      </c>
    </row>
    <row r="91" spans="1:6" x14ac:dyDescent="0.25">
      <c r="A91" s="3">
        <f t="shared" si="9"/>
        <v>79</v>
      </c>
      <c r="B91" s="3">
        <f t="shared" si="10"/>
        <v>79</v>
      </c>
      <c r="C91" s="3">
        <f t="shared" si="11"/>
        <v>131.24913476644852</v>
      </c>
      <c r="D91" s="3">
        <f t="shared" si="6"/>
        <v>2.1720423408658478</v>
      </c>
      <c r="E91" s="3">
        <f t="shared" si="7"/>
        <v>133.68683599844303</v>
      </c>
      <c r="F91" s="3">
        <f t="shared" si="8"/>
        <v>2.4377012319945095</v>
      </c>
    </row>
    <row r="92" spans="1:6" x14ac:dyDescent="0.25">
      <c r="A92" s="3">
        <f t="shared" si="9"/>
        <v>80</v>
      </c>
      <c r="B92" s="3">
        <f t="shared" si="10"/>
        <v>80</v>
      </c>
      <c r="C92" s="3">
        <f t="shared" si="11"/>
        <v>133.42117710731438</v>
      </c>
      <c r="D92" s="3">
        <f t="shared" si="6"/>
        <v>2.1595619904250936</v>
      </c>
      <c r="E92" s="3">
        <f t="shared" si="7"/>
        <v>135.83836700992967</v>
      </c>
      <c r="F92" s="3">
        <f t="shared" si="8"/>
        <v>2.4171899026152914</v>
      </c>
    </row>
    <row r="93" spans="1:6" x14ac:dyDescent="0.25">
      <c r="A93" s="3">
        <f t="shared" si="9"/>
        <v>81</v>
      </c>
      <c r="B93" s="3">
        <f t="shared" si="10"/>
        <v>81</v>
      </c>
      <c r="C93" s="3">
        <f t="shared" si="11"/>
        <v>135.58073909773947</v>
      </c>
      <c r="D93" s="3">
        <f t="shared" si="6"/>
        <v>2.1465730947151589</v>
      </c>
      <c r="E93" s="3">
        <f t="shared" si="7"/>
        <v>137.97664822674338</v>
      </c>
      <c r="F93" s="3">
        <f t="shared" si="8"/>
        <v>2.3959091290039112</v>
      </c>
    </row>
    <row r="94" spans="1:6" x14ac:dyDescent="0.25">
      <c r="A94" s="3">
        <f t="shared" si="9"/>
        <v>82</v>
      </c>
      <c r="B94" s="3">
        <f t="shared" si="10"/>
        <v>82</v>
      </c>
      <c r="C94" s="3">
        <f t="shared" si="11"/>
        <v>137.72731219245463</v>
      </c>
      <c r="D94" s="3">
        <f t="shared" si="6"/>
        <v>2.1331003413143867</v>
      </c>
      <c r="E94" s="3">
        <f t="shared" si="7"/>
        <v>140.10121546363385</v>
      </c>
      <c r="F94" s="3">
        <f t="shared" si="8"/>
        <v>2.3739032711792163</v>
      </c>
    </row>
    <row r="95" spans="1:6" x14ac:dyDescent="0.25">
      <c r="A95" s="3">
        <f t="shared" si="9"/>
        <v>83</v>
      </c>
      <c r="B95" s="3">
        <f t="shared" si="10"/>
        <v>83</v>
      </c>
      <c r="C95" s="3">
        <f t="shared" si="11"/>
        <v>139.86041253376902</v>
      </c>
      <c r="D95" s="3">
        <f t="shared" si="6"/>
        <v>2.1191679193736266</v>
      </c>
      <c r="E95" s="3">
        <f t="shared" si="7"/>
        <v>142.21162831214679</v>
      </c>
      <c r="F95" s="3">
        <f t="shared" si="8"/>
        <v>2.3512157783777639</v>
      </c>
    </row>
    <row r="96" spans="1:6" x14ac:dyDescent="0.25">
      <c r="A96" s="3">
        <f t="shared" si="9"/>
        <v>84</v>
      </c>
      <c r="B96" s="3">
        <f t="shared" si="10"/>
        <v>84</v>
      </c>
      <c r="C96" s="3">
        <f t="shared" si="11"/>
        <v>141.97958045314266</v>
      </c>
      <c r="D96" s="3">
        <f t="shared" si="6"/>
        <v>2.1047995084848425</v>
      </c>
      <c r="E96" s="3">
        <f t="shared" si="7"/>
        <v>144.30746960982441</v>
      </c>
      <c r="F96" s="3">
        <f t="shared" si="8"/>
        <v>2.3278891566817492</v>
      </c>
    </row>
    <row r="97" spans="1:6" x14ac:dyDescent="0.25">
      <c r="A97" s="3">
        <f t="shared" si="9"/>
        <v>85</v>
      </c>
      <c r="B97" s="3">
        <f t="shared" si="10"/>
        <v>85</v>
      </c>
      <c r="C97" s="3">
        <f t="shared" si="11"/>
        <v>144.08437996162749</v>
      </c>
      <c r="D97" s="3">
        <f t="shared" si="6"/>
        <v>2.0900182693219431</v>
      </c>
      <c r="E97" s="3">
        <f t="shared" si="7"/>
        <v>146.38834490275579</v>
      </c>
      <c r="F97" s="3">
        <f t="shared" si="8"/>
        <v>2.3039649411282994</v>
      </c>
    </row>
    <row r="98" spans="1:6" x14ac:dyDescent="0.25">
      <c r="A98" s="3">
        <f t="shared" si="9"/>
        <v>86</v>
      </c>
      <c r="B98" s="3">
        <f t="shared" si="10"/>
        <v>86</v>
      </c>
      <c r="C98" s="3">
        <f t="shared" si="11"/>
        <v>146.17439823094944</v>
      </c>
      <c r="D98" s="3">
        <f t="shared" si="6"/>
        <v>2.0748468359421897</v>
      </c>
      <c r="E98" s="3">
        <f t="shared" si="7"/>
        <v>148.45388190297814</v>
      </c>
      <c r="F98" s="3">
        <f t="shared" si="8"/>
        <v>2.2794836720287037</v>
      </c>
    </row>
    <row r="99" spans="1:6" x14ac:dyDescent="0.25">
      <c r="A99" s="3">
        <f t="shared" si="9"/>
        <v>87</v>
      </c>
      <c r="B99" s="3">
        <f t="shared" si="10"/>
        <v>87</v>
      </c>
      <c r="C99" s="3">
        <f t="shared" si="11"/>
        <v>148.24924506689163</v>
      </c>
      <c r="D99" s="3">
        <f t="shared" si="6"/>
        <v>2.0593073096412429</v>
      </c>
      <c r="E99" s="3">
        <f t="shared" si="7"/>
        <v>150.50372994212802</v>
      </c>
      <c r="F99" s="3">
        <f t="shared" si="8"/>
        <v>2.2544848752363862</v>
      </c>
    </row>
    <row r="100" spans="1:6" x14ac:dyDescent="0.25">
      <c r="A100" s="3">
        <f t="shared" si="9"/>
        <v>88</v>
      </c>
      <c r="B100" s="3">
        <f t="shared" si="10"/>
        <v>88</v>
      </c>
      <c r="C100" s="3">
        <f t="shared" si="11"/>
        <v>150.30855237653287</v>
      </c>
      <c r="D100" s="3">
        <f t="shared" si="6"/>
        <v>2.0434212542594197</v>
      </c>
      <c r="E100" s="3">
        <f t="shared" si="7"/>
        <v>152.53755942264576</v>
      </c>
      <c r="F100" s="3">
        <f t="shared" si="8"/>
        <v>2.2290070461128835</v>
      </c>
    </row>
    <row r="101" spans="1:6" x14ac:dyDescent="0.25">
      <c r="A101" s="3">
        <f t="shared" si="9"/>
        <v>89</v>
      </c>
      <c r="B101" s="3">
        <f t="shared" si="10"/>
        <v>89</v>
      </c>
      <c r="C101" s="3">
        <f t="shared" si="11"/>
        <v>152.35197363079229</v>
      </c>
      <c r="D101" s="3">
        <f t="shared" si="6"/>
        <v>2.0272096928411987</v>
      </c>
      <c r="E101" s="3">
        <f t="shared" si="7"/>
        <v>154.5550612677408</v>
      </c>
      <c r="F101" s="3">
        <f t="shared" si="8"/>
        <v>2.20308763694851</v>
      </c>
    </row>
    <row r="102" spans="1:6" x14ac:dyDescent="0.25">
      <c r="A102" s="3">
        <f t="shared" si="9"/>
        <v>90</v>
      </c>
      <c r="B102" s="3">
        <f t="shared" si="10"/>
        <v>90</v>
      </c>
      <c r="C102" s="3">
        <f t="shared" si="11"/>
        <v>154.3791833236335</v>
      </c>
      <c r="D102" s="3">
        <f t="shared" si="6"/>
        <v>2.0106931055544512</v>
      </c>
      <c r="E102" s="3">
        <f t="shared" si="7"/>
        <v>156.55594637124022</v>
      </c>
      <c r="F102" s="3">
        <f t="shared" si="8"/>
        <v>2.1767630476067268</v>
      </c>
    </row>
    <row r="103" spans="1:6" x14ac:dyDescent="0.25">
      <c r="A103" s="3">
        <f t="shared" si="9"/>
        <v>91</v>
      </c>
      <c r="B103" s="3">
        <f t="shared" si="10"/>
        <v>91</v>
      </c>
      <c r="C103" s="3">
        <f t="shared" si="11"/>
        <v>156.38987642918795</v>
      </c>
      <c r="D103" s="3">
        <f t="shared" si="6"/>
        <v>1.9938914287801306</v>
      </c>
      <c r="E103" s="3">
        <f t="shared" si="7"/>
        <v>158.53994504835671</v>
      </c>
      <c r="F103" s="3">
        <f t="shared" si="8"/>
        <v>2.1500686191687635</v>
      </c>
    </row>
    <row r="104" spans="1:6" x14ac:dyDescent="0.25">
      <c r="A104" s="3">
        <f t="shared" si="9"/>
        <v>92</v>
      </c>
      <c r="B104" s="3">
        <f t="shared" si="10"/>
        <v>92</v>
      </c>
      <c r="C104" s="3">
        <f t="shared" si="11"/>
        <v>158.38376785796808</v>
      </c>
      <c r="D104" s="3">
        <f t="shared" si="6"/>
        <v>1.9768240552873346</v>
      </c>
      <c r="E104" s="3">
        <f t="shared" si="7"/>
        <v>160.50680648833381</v>
      </c>
      <c r="F104" s="3">
        <f t="shared" si="8"/>
        <v>2.1230386303657269</v>
      </c>
    </row>
    <row r="105" spans="1:6" x14ac:dyDescent="0.25">
      <c r="A105" s="3">
        <f t="shared" si="9"/>
        <v>93</v>
      </c>
      <c r="B105" s="3">
        <f t="shared" si="10"/>
        <v>93</v>
      </c>
      <c r="C105" s="3">
        <f t="shared" si="11"/>
        <v>160.3605919132554</v>
      </c>
      <c r="D105" s="3">
        <f t="shared" si="6"/>
        <v>1.9595098354128362</v>
      </c>
      <c r="E105" s="3">
        <f t="shared" si="7"/>
        <v>162.45629820984928</v>
      </c>
      <c r="F105" s="3">
        <f t="shared" si="8"/>
        <v>2.0957062965938746</v>
      </c>
    </row>
    <row r="106" spans="1:6" x14ac:dyDescent="0.25">
      <c r="A106" s="3">
        <f t="shared" si="9"/>
        <v>94</v>
      </c>
      <c r="B106" s="3">
        <f t="shared" si="10"/>
        <v>94</v>
      </c>
      <c r="C106" s="3">
        <f t="shared" si="11"/>
        <v>162.32010174866824</v>
      </c>
      <c r="D106" s="3">
        <f t="shared" si="6"/>
        <v>1.9419670791680026</v>
      </c>
      <c r="E106" s="3">
        <f t="shared" si="7"/>
        <v>164.38820551998725</v>
      </c>
      <c r="F106" s="3">
        <f t="shared" si="8"/>
        <v>2.0681037713190165</v>
      </c>
    </row>
    <row r="107" spans="1:6" x14ac:dyDescent="0.25">
      <c r="A107" s="3">
        <f t="shared" si="9"/>
        <v>95</v>
      </c>
      <c r="B107" s="3">
        <f t="shared" si="10"/>
        <v>95</v>
      </c>
      <c r="C107" s="3">
        <f t="shared" si="11"/>
        <v>164.26206882783623</v>
      </c>
      <c r="D107" s="3">
        <f t="shared" si="6"/>
        <v>1.9242135592000447</v>
      </c>
      <c r="E107" s="3">
        <f t="shared" si="7"/>
        <v>166.30233097752151</v>
      </c>
      <c r="F107" s="3">
        <f t="shared" si="8"/>
        <v>2.040262149685276</v>
      </c>
    </row>
    <row r="108" spans="1:6" x14ac:dyDescent="0.25">
      <c r="A108" s="3">
        <f t="shared" si="9"/>
        <v>96</v>
      </c>
      <c r="B108" s="3">
        <f t="shared" si="10"/>
        <v>96</v>
      </c>
      <c r="C108" s="3">
        <f t="shared" si="11"/>
        <v>166.18628238703627</v>
      </c>
      <c r="D108" s="3">
        <f t="shared" si="6"/>
        <v>1.9062665145381521</v>
      </c>
      <c r="E108" s="3">
        <f t="shared" si="7"/>
        <v>168.19849386118747</v>
      </c>
      <c r="F108" s="3">
        <f t="shared" si="8"/>
        <v>2.0122114741512007</v>
      </c>
    </row>
    <row r="109" spans="1:6" x14ac:dyDescent="0.25">
      <c r="A109" s="3">
        <f t="shared" si="9"/>
        <v>97</v>
      </c>
      <c r="B109" s="3">
        <f t="shared" si="10"/>
        <v>97</v>
      </c>
      <c r="C109" s="3">
        <f t="shared" si="11"/>
        <v>168.09254890157442</v>
      </c>
      <c r="D109" s="3">
        <f t="shared" si="6"/>
        <v>1.8881426550587341</v>
      </c>
      <c r="E109" s="3">
        <f t="shared" si="7"/>
        <v>170.0765296435597</v>
      </c>
      <c r="F109" s="3">
        <f t="shared" si="8"/>
        <v>1.9839807419852775</v>
      </c>
    </row>
    <row r="110" spans="1:6" x14ac:dyDescent="0.25">
      <c r="A110" s="3">
        <f t="shared" si="9"/>
        <v>98</v>
      </c>
      <c r="B110" s="3">
        <f t="shared" si="10"/>
        <v>98</v>
      </c>
      <c r="C110" s="3">
        <f t="shared" si="11"/>
        <v>169.98069155663316</v>
      </c>
      <c r="D110" s="3">
        <f t="shared" si="6"/>
        <v>1.8698581666075209</v>
      </c>
      <c r="E110" s="3">
        <f t="shared" si="7"/>
        <v>171.93628947109625</v>
      </c>
      <c r="F110" s="3">
        <f t="shared" si="8"/>
        <v>1.955597914463084</v>
      </c>
    </row>
    <row r="111" spans="1:6" x14ac:dyDescent="0.25">
      <c r="A111" s="3">
        <f t="shared" si="9"/>
        <v>99</v>
      </c>
      <c r="B111" s="3">
        <f t="shared" si="10"/>
        <v>99</v>
      </c>
      <c r="C111" s="3">
        <f t="shared" si="11"/>
        <v>171.85054972324068</v>
      </c>
      <c r="D111" s="3">
        <f t="shared" si="6"/>
        <v>1.851428716719582</v>
      </c>
      <c r="E111" s="3">
        <f t="shared" si="7"/>
        <v>173.77763965085461</v>
      </c>
      <c r="F111" s="3">
        <f t="shared" si="8"/>
        <v>1.9270899276139346</v>
      </c>
    </row>
    <row r="112" spans="1:6" x14ac:dyDescent="0.25">
      <c r="A112" s="3">
        <f t="shared" si="9"/>
        <v>100</v>
      </c>
      <c r="B112" s="3">
        <f t="shared" si="10"/>
        <v>100</v>
      </c>
      <c r="C112" s="3">
        <f t="shared" si="11"/>
        <v>173.70197843996027</v>
      </c>
      <c r="D112" s="3">
        <f t="shared" si="6"/>
        <v>1.8328694608815848</v>
      </c>
      <c r="E112" s="3">
        <f t="shared" si="7"/>
        <v>175.60046114433572</v>
      </c>
      <c r="F112" s="3">
        <f t="shared" si="8"/>
        <v>1.8984827043754535</v>
      </c>
    </row>
    <row r="113" spans="1:6" x14ac:dyDescent="0.25">
      <c r="A113" s="3">
        <f t="shared" si="9"/>
        <v>101</v>
      </c>
      <c r="B113" s="3">
        <f t="shared" si="10"/>
        <v>101</v>
      </c>
      <c r="C113" s="3">
        <f t="shared" si="11"/>
        <v>175.53484790084187</v>
      </c>
      <c r="D113" s="3">
        <f t="shared" si="6"/>
        <v>1.8141950492838117</v>
      </c>
      <c r="E113" s="3">
        <f t="shared" si="7"/>
        <v>177.40464906886208</v>
      </c>
      <c r="F113" s="3">
        <f t="shared" si="8"/>
        <v>1.8698011680202171</v>
      </c>
    </row>
    <row r="114" spans="1:6" x14ac:dyDescent="0.25">
      <c r="A114" s="3">
        <f t="shared" si="9"/>
        <v>102</v>
      </c>
      <c r="B114" s="3">
        <f t="shared" si="10"/>
        <v>102</v>
      </c>
      <c r="C114" s="3">
        <f t="shared" si="11"/>
        <v>177.34904295012569</v>
      </c>
      <c r="D114" s="3">
        <f t="shared" si="6"/>
        <v>1.7954196340123298</v>
      </c>
      <c r="E114" s="3">
        <f t="shared" si="7"/>
        <v>179.1901122068536</v>
      </c>
      <c r="F114" s="3">
        <f t="shared" si="8"/>
        <v>1.8410692567279057</v>
      </c>
    </row>
    <row r="115" spans="1:6" x14ac:dyDescent="0.25">
      <c r="A115" s="3">
        <f t="shared" si="9"/>
        <v>103</v>
      </c>
      <c r="B115" s="3">
        <f t="shared" si="10"/>
        <v>103</v>
      </c>
      <c r="C115" s="3">
        <f t="shared" si="11"/>
        <v>179.14446258413801</v>
      </c>
      <c r="D115" s="3">
        <f t="shared" si="6"/>
        <v>1.7765568766347464</v>
      </c>
      <c r="E115" s="3">
        <f t="shared" si="7"/>
        <v>180.9567725233197</v>
      </c>
      <c r="F115" s="3">
        <f t="shared" si="8"/>
        <v>1.8123099391816879</v>
      </c>
    </row>
    <row r="116" spans="1:6" x14ac:dyDescent="0.25">
      <c r="A116" s="3">
        <f t="shared" si="9"/>
        <v>104</v>
      </c>
      <c r="B116" s="3">
        <f t="shared" si="10"/>
        <v>104</v>
      </c>
      <c r="C116" s="3">
        <f t="shared" si="11"/>
        <v>180.92101946077275</v>
      </c>
      <c r="D116" s="3">
        <f t="shared" si="6"/>
        <v>1.757619956135573</v>
      </c>
      <c r="E116" s="3">
        <f t="shared" si="7"/>
        <v>182.70456469185032</v>
      </c>
      <c r="F116" s="3">
        <f t="shared" si="8"/>
        <v>1.7835452310775679</v>
      </c>
    </row>
    <row r="117" spans="1:6" x14ac:dyDescent="0.25">
      <c r="A117" s="3">
        <f t="shared" si="9"/>
        <v>105</v>
      </c>
      <c r="B117" s="3">
        <f t="shared" si="10"/>
        <v>105</v>
      </c>
      <c r="C117" s="3">
        <f t="shared" si="11"/>
        <v>182.67863941690834</v>
      </c>
      <c r="D117" s="3">
        <f t="shared" si="6"/>
        <v>1.7386215771600555</v>
      </c>
      <c r="E117" s="3">
        <f t="shared" si="7"/>
        <v>184.43343562934675</v>
      </c>
      <c r="F117" s="3">
        <f t="shared" si="8"/>
        <v>1.7547962124384071</v>
      </c>
    </row>
    <row r="118" spans="1:6" x14ac:dyDescent="0.25">
      <c r="A118" s="3">
        <f t="shared" si="9"/>
        <v>106</v>
      </c>
      <c r="B118" s="3">
        <f t="shared" si="10"/>
        <v>106</v>
      </c>
      <c r="C118" s="3">
        <f t="shared" si="11"/>
        <v>184.41726099406839</v>
      </c>
      <c r="D118" s="3">
        <f t="shared" si="6"/>
        <v>1.7195739785277153</v>
      </c>
      <c r="E118" s="3">
        <f t="shared" si="7"/>
        <v>186.14334403970292</v>
      </c>
      <c r="F118" s="3">
        <f t="shared" si="8"/>
        <v>1.7260830456345388</v>
      </c>
    </row>
    <row r="119" spans="1:6" x14ac:dyDescent="0.25">
      <c r="A119" s="3">
        <f t="shared" si="9"/>
        <v>107</v>
      </c>
      <c r="B119" s="3">
        <f t="shared" si="10"/>
        <v>107</v>
      </c>
      <c r="C119" s="3">
        <f t="shared" si="11"/>
        <v>186.13683497259609</v>
      </c>
      <c r="D119" s="3">
        <f t="shared" si="6"/>
        <v>1.7004889419793197</v>
      </c>
      <c r="E119" s="3">
        <f t="shared" si="7"/>
        <v>187.83425996661126</v>
      </c>
      <c r="F119" s="3">
        <f t="shared" si="8"/>
        <v>1.6974249940151651</v>
      </c>
    </row>
    <row r="120" spans="1:6" x14ac:dyDescent="0.25">
      <c r="A120" s="3">
        <f t="shared" si="9"/>
        <v>108</v>
      </c>
      <c r="B120" s="3">
        <f t="shared" si="10"/>
        <v>108</v>
      </c>
      <c r="C120" s="3">
        <f t="shared" si="11"/>
        <v>187.83732391457542</v>
      </c>
      <c r="D120" s="3">
        <f t="shared" si="6"/>
        <v>1.6813778011233647</v>
      </c>
      <c r="E120" s="3">
        <f t="shared" si="7"/>
        <v>189.50616435564092</v>
      </c>
      <c r="F120" s="3">
        <f t="shared" si="8"/>
        <v>1.6688404410654982</v>
      </c>
    </row>
    <row r="121" spans="1:6" x14ac:dyDescent="0.25">
      <c r="A121" s="3">
        <f t="shared" si="9"/>
        <v>109</v>
      </c>
      <c r="B121" s="3">
        <f t="shared" si="10"/>
        <v>109</v>
      </c>
      <c r="C121" s="3">
        <f t="shared" si="11"/>
        <v>189.5187017156988</v>
      </c>
      <c r="D121" s="3">
        <f t="shared" si="6"/>
        <v>1.6622514505502588</v>
      </c>
      <c r="E121" s="3">
        <f t="shared" si="7"/>
        <v>191.1590486257048</v>
      </c>
      <c r="F121" s="3">
        <f t="shared" si="8"/>
        <v>1.6403469100060022</v>
      </c>
    </row>
    <row r="122" spans="1:6" x14ac:dyDescent="0.25">
      <c r="A122" s="3">
        <f t="shared" si="9"/>
        <v>110</v>
      </c>
      <c r="B122" s="3">
        <f t="shared" si="10"/>
        <v>110</v>
      </c>
      <c r="C122" s="3">
        <f t="shared" si="11"/>
        <v>191.18095316624905</v>
      </c>
      <c r="D122" s="3">
        <f t="shared" si="6"/>
        <v>1.6431203550845979</v>
      </c>
      <c r="E122" s="3">
        <f t="shared" si="7"/>
        <v>192.79291425000602</v>
      </c>
      <c r="F122" s="3">
        <f t="shared" si="8"/>
        <v>1.6119610837569667</v>
      </c>
    </row>
    <row r="123" spans="1:6" x14ac:dyDescent="0.25">
      <c r="A123" s="3">
        <f t="shared" si="9"/>
        <v>111</v>
      </c>
      <c r="B123" s="3">
        <f t="shared" si="10"/>
        <v>111</v>
      </c>
      <c r="C123" s="3">
        <f t="shared" si="11"/>
        <v>192.82407352133364</v>
      </c>
      <c r="D123" s="3">
        <f t="shared" si="6"/>
        <v>1.6239945591478535</v>
      </c>
      <c r="E123" s="3">
        <f t="shared" si="7"/>
        <v>194.40777234653211</v>
      </c>
      <c r="F123" s="3">
        <f t="shared" si="8"/>
        <v>1.5836988251984678</v>
      </c>
    </row>
    <row r="124" spans="1:6" x14ac:dyDescent="0.25">
      <c r="A124" s="3">
        <f t="shared" si="9"/>
        <v>112</v>
      </c>
      <c r="B124" s="3">
        <f t="shared" si="10"/>
        <v>112</v>
      </c>
      <c r="C124" s="3">
        <f t="shared" si="11"/>
        <v>194.44806808048151</v>
      </c>
      <c r="D124" s="3">
        <f t="shared" si="6"/>
        <v>1.6048836962057569</v>
      </c>
      <c r="E124" s="3">
        <f t="shared" si="7"/>
        <v>196.00364327814009</v>
      </c>
      <c r="F124" s="3">
        <f t="shared" si="8"/>
        <v>1.5555751976585839</v>
      </c>
    </row>
    <row r="125" spans="1:6" x14ac:dyDescent="0.25">
      <c r="A125" s="3">
        <f t="shared" si="9"/>
        <v>113</v>
      </c>
      <c r="B125" s="3">
        <f t="shared" si="10"/>
        <v>113</v>
      </c>
      <c r="C125" s="3">
        <f t="shared" si="11"/>
        <v>196.05295177668725</v>
      </c>
      <c r="D125" s="3">
        <f t="shared" si="6"/>
        <v>1.5857969982764113</v>
      </c>
      <c r="E125" s="3">
        <f t="shared" si="7"/>
        <v>197.58055626225504</v>
      </c>
      <c r="F125" s="3">
        <f t="shared" si="8"/>
        <v>1.5276044855677924</v>
      </c>
    </row>
    <row r="126" spans="1:6" x14ac:dyDescent="0.25">
      <c r="A126" s="3">
        <f t="shared" si="9"/>
        <v>114</v>
      </c>
      <c r="B126" s="3">
        <f t="shared" si="10"/>
        <v>114</v>
      </c>
      <c r="C126" s="3">
        <f t="shared" si="11"/>
        <v>197.63874877496366</v>
      </c>
      <c r="D126" s="3">
        <f t="shared" si="6"/>
        <v>1.566743305476971</v>
      </c>
      <c r="E126" s="3">
        <f t="shared" si="7"/>
        <v>199.13854899018725</v>
      </c>
      <c r="F126" s="3">
        <f t="shared" si="8"/>
        <v>1.499800215223587</v>
      </c>
    </row>
    <row r="127" spans="1:6" x14ac:dyDescent="0.25">
      <c r="A127" s="3">
        <f t="shared" si="9"/>
        <v>115</v>
      </c>
      <c r="B127" s="3">
        <f t="shared" si="10"/>
        <v>115</v>
      </c>
      <c r="C127" s="3">
        <f t="shared" si="11"/>
        <v>199.20549208044062</v>
      </c>
      <c r="D127" s="3">
        <f t="shared" si="6"/>
        <v>1.5477310755882667</v>
      </c>
      <c r="E127" s="3">
        <f t="shared" si="7"/>
        <v>200.67766725605287</v>
      </c>
      <c r="F127" s="3">
        <f t="shared" si="8"/>
        <v>1.4721751756122501</v>
      </c>
    </row>
    <row r="128" spans="1:6" x14ac:dyDescent="0.25">
      <c r="A128" s="3">
        <f t="shared" si="9"/>
        <v>116</v>
      </c>
      <c r="B128" s="3">
        <f t="shared" si="10"/>
        <v>116</v>
      </c>
      <c r="C128" s="3">
        <f t="shared" si="11"/>
        <v>200.75322315602889</v>
      </c>
      <c r="D128" s="3">
        <f t="shared" si="6"/>
        <v>1.528768393618372</v>
      </c>
      <c r="E128" s="3">
        <f t="shared" si="7"/>
        <v>202.19796459526572</v>
      </c>
      <c r="F128" s="3">
        <f t="shared" si="8"/>
        <v>1.4447414392368216</v>
      </c>
    </row>
    <row r="129" spans="1:6" x14ac:dyDescent="0.25">
      <c r="A129" s="3">
        <f t="shared" si="9"/>
        <v>117</v>
      </c>
      <c r="B129" s="3">
        <f t="shared" si="10"/>
        <v>117</v>
      </c>
      <c r="C129" s="3">
        <f t="shared" si="11"/>
        <v>202.28199154964727</v>
      </c>
      <c r="D129" s="3">
        <f t="shared" si="6"/>
        <v>1.509862981347539</v>
      </c>
      <c r="E129" s="3">
        <f t="shared" si="7"/>
        <v>203.69950193255815</v>
      </c>
      <c r="F129" s="3">
        <f t="shared" si="8"/>
        <v>1.4175103829108764</v>
      </c>
    </row>
    <row r="130" spans="1:6" x14ac:dyDescent="0.25">
      <c r="A130" s="3">
        <f t="shared" si="9"/>
        <v>118</v>
      </c>
      <c r="B130" s="3">
        <f t="shared" si="10"/>
        <v>118</v>
      </c>
      <c r="C130" s="3">
        <f t="shared" si="11"/>
        <v>203.79185453099481</v>
      </c>
      <c r="D130" s="3">
        <f t="shared" si="6"/>
        <v>1.491022206838349</v>
      </c>
      <c r="E130" s="3">
        <f t="shared" si="7"/>
        <v>205.18234723946659</v>
      </c>
      <c r="F130" s="3">
        <f t="shared" si="8"/>
        <v>1.3904927084717826</v>
      </c>
    </row>
    <row r="131" spans="1:6" x14ac:dyDescent="0.25">
      <c r="A131" s="3">
        <f t="shared" si="9"/>
        <v>119</v>
      </c>
      <c r="B131" s="3">
        <f t="shared" si="10"/>
        <v>119</v>
      </c>
      <c r="C131" s="3">
        <f t="shared" si="11"/>
        <v>205.28287673783316</v>
      </c>
      <c r="D131" s="3">
        <f t="shared" si="6"/>
        <v>1.4722530938961667</v>
      </c>
      <c r="E131" s="3">
        <f t="shared" si="7"/>
        <v>206.6465752012125</v>
      </c>
      <c r="F131" s="3">
        <f t="shared" si="8"/>
        <v>1.3636984633793361</v>
      </c>
    </row>
    <row r="132" spans="1:6" x14ac:dyDescent="0.25">
      <c r="A132" s="3">
        <f t="shared" si="9"/>
        <v>120</v>
      </c>
      <c r="B132" s="3">
        <f t="shared" si="10"/>
        <v>120</v>
      </c>
      <c r="C132" s="3">
        <f t="shared" si="11"/>
        <v>206.75512983172933</v>
      </c>
      <c r="D132" s="3">
        <f t="shared" si="6"/>
        <v>1.4535623314663464</v>
      </c>
      <c r="E132" s="3">
        <f t="shared" si="7"/>
        <v>208.09226689289264</v>
      </c>
      <c r="F132" s="3">
        <f t="shared" si="8"/>
        <v>1.337137061163304</v>
      </c>
    </row>
    <row r="133" spans="1:6" x14ac:dyDescent="0.25">
      <c r="A133" s="3">
        <f t="shared" si="9"/>
        <v>121</v>
      </c>
      <c r="B133" s="3">
        <f t="shared" si="10"/>
        <v>121</v>
      </c>
      <c r="C133" s="3">
        <f t="shared" si="11"/>
        <v>208.20869216319568</v>
      </c>
      <c r="D133" s="3">
        <f t="shared" si="6"/>
        <v>1.4349562829556877</v>
      </c>
      <c r="E133" s="3">
        <f t="shared" si="7"/>
        <v>209.51950946488407</v>
      </c>
      <c r="F133" s="3">
        <f t="shared" si="8"/>
        <v>1.3108173016883882</v>
      </c>
    </row>
    <row r="134" spans="1:6" x14ac:dyDescent="0.25">
      <c r="A134" s="3">
        <f t="shared" si="9"/>
        <v>122</v>
      </c>
      <c r="B134" s="3">
        <f t="shared" si="10"/>
        <v>122</v>
      </c>
      <c r="C134" s="3">
        <f t="shared" si="11"/>
        <v>209.64364844615136</v>
      </c>
      <c r="D134" s="3">
        <f t="shared" si="6"/>
        <v>1.4164409954668096</v>
      </c>
      <c r="E134" s="3">
        <f t="shared" si="7"/>
        <v>210.92839583736139</v>
      </c>
      <c r="F134" s="3">
        <f t="shared" si="8"/>
        <v>1.2847473912100327</v>
      </c>
    </row>
    <row r="135" spans="1:6" x14ac:dyDescent="0.25">
      <c r="A135" s="3">
        <f t="shared" si="9"/>
        <v>123</v>
      </c>
      <c r="B135" s="3">
        <f t="shared" si="10"/>
        <v>123</v>
      </c>
      <c r="C135" s="3">
        <f t="shared" si="11"/>
        <v>211.06008944161817</v>
      </c>
      <c r="D135" s="3">
        <f t="shared" si="6"/>
        <v>1.3980222089351446</v>
      </c>
      <c r="E135" s="3">
        <f t="shared" si="7"/>
        <v>212.31902440380989</v>
      </c>
      <c r="F135" s="3">
        <f t="shared" si="8"/>
        <v>1.2589349621917165</v>
      </c>
    </row>
    <row r="136" spans="1:6" x14ac:dyDescent="0.25">
      <c r="A136" s="3">
        <f t="shared" si="9"/>
        <v>124</v>
      </c>
      <c r="B136" s="3">
        <f t="shared" si="10"/>
        <v>124</v>
      </c>
      <c r="C136" s="3">
        <f t="shared" si="11"/>
        <v>212.45811165055332</v>
      </c>
      <c r="D136" s="3">
        <f t="shared" si="6"/>
        <v>1.3797053651592233</v>
      </c>
      <c r="E136" s="3">
        <f t="shared" si="7"/>
        <v>213.69149874341738</v>
      </c>
      <c r="F136" s="3">
        <f t="shared" si="8"/>
        <v>1.2333870928640636</v>
      </c>
    </row>
    <row r="137" spans="1:6" x14ac:dyDescent="0.25">
      <c r="A137" s="3">
        <f t="shared" si="9"/>
        <v>125</v>
      </c>
      <c r="B137" s="3">
        <f t="shared" si="10"/>
        <v>125</v>
      </c>
      <c r="C137" s="3">
        <f t="shared" si="11"/>
        <v>213.83781701571255</v>
      </c>
      <c r="D137" s="3">
        <f t="shared" si="6"/>
        <v>1.3614956167158314</v>
      </c>
      <c r="E137" s="3">
        <f t="shared" si="7"/>
        <v>215.04592734221467</v>
      </c>
      <c r="F137" s="3">
        <f t="shared" si="8"/>
        <v>1.2081103265021227</v>
      </c>
    </row>
    <row r="138" spans="1:6" x14ac:dyDescent="0.25">
      <c r="A138" s="3">
        <f t="shared" si="9"/>
        <v>126</v>
      </c>
      <c r="B138" s="3">
        <f t="shared" si="10"/>
        <v>126</v>
      </c>
      <c r="C138" s="3">
        <f t="shared" si="11"/>
        <v>215.19931263242839</v>
      </c>
      <c r="D138" s="3">
        <f t="shared" si="6"/>
        <v>1.3433978357525376</v>
      </c>
      <c r="E138" s="3">
        <f t="shared" si="7"/>
        <v>216.38242332283184</v>
      </c>
      <c r="F138" s="3">
        <f t="shared" si="8"/>
        <v>1.1831106904034527</v>
      </c>
    </row>
    <row r="139" spans="1:6" x14ac:dyDescent="0.25">
      <c r="A139" s="3">
        <f t="shared" si="9"/>
        <v>127</v>
      </c>
      <c r="B139" s="3">
        <f t="shared" si="10"/>
        <v>127</v>
      </c>
      <c r="C139" s="3">
        <f t="shared" si="11"/>
        <v>216.54271046818093</v>
      </c>
      <c r="D139" s="3">
        <f t="shared" si="6"/>
        <v>1.3254166226508082</v>
      </c>
      <c r="E139" s="3">
        <f t="shared" si="7"/>
        <v>217.70110418273225</v>
      </c>
      <c r="F139" s="3">
        <f t="shared" si="8"/>
        <v>1.1583937145513232</v>
      </c>
    </row>
    <row r="140" spans="1:6" x14ac:dyDescent="0.25">
      <c r="A140" s="3">
        <f t="shared" si="9"/>
        <v>128</v>
      </c>
      <c r="B140" s="3">
        <f t="shared" si="10"/>
        <v>128</v>
      </c>
      <c r="C140" s="3">
        <f t="shared" si="11"/>
        <v>217.86812709083173</v>
      </c>
      <c r="D140" s="3">
        <f t="shared" ref="D140:D203" si="12">$B$3*C140^(3/4)*(1-(C140/$B$4)^(1/4))</f>
        <v>1.3075563145538047</v>
      </c>
      <c r="E140" s="3">
        <f t="shared" ref="E140:E203" si="13">( $B$8 + ($B$9-$B$8)*EXP(-$B$3*B140/(4*$B$8)) )^4</f>
        <v>219.00209154077746</v>
      </c>
      <c r="F140" s="3">
        <f t="shared" ref="F140:F203" si="14">ABS(C140-E140)</f>
        <v>1.1339644499457222</v>
      </c>
    </row>
    <row r="141" spans="1:6" x14ac:dyDescent="0.25">
      <c r="A141" s="3">
        <f t="shared" ref="A141:A204" si="15">A140+1</f>
        <v>129</v>
      </c>
      <c r="B141" s="3">
        <f t="shared" ref="B141:B204" si="16">B140+$B$6</f>
        <v>129</v>
      </c>
      <c r="C141" s="3">
        <f t="shared" ref="C141:C204" si="17">C140+$B$6*D140</f>
        <v>219.17568340538554</v>
      </c>
      <c r="D141" s="3">
        <f t="shared" si="12"/>
        <v>1.2898209937535825</v>
      </c>
      <c r="E141" s="3">
        <f t="shared" si="13"/>
        <v>220.28551089197921</v>
      </c>
      <c r="F141" s="3">
        <f t="shared" si="14"/>
        <v>1.109827486593673</v>
      </c>
    </row>
    <row r="142" spans="1:6" x14ac:dyDescent="0.25">
      <c r="A142" s="3">
        <f t="shared" si="15"/>
        <v>130</v>
      </c>
      <c r="B142" s="3">
        <f t="shared" si="16"/>
        <v>130</v>
      </c>
      <c r="C142" s="3">
        <f t="shared" si="17"/>
        <v>220.46550439913912</v>
      </c>
      <c r="D142" s="3">
        <f t="shared" si="12"/>
        <v>1.2722144959331141</v>
      </c>
      <c r="E142" s="3">
        <f t="shared" si="13"/>
        <v>221.55149137028241</v>
      </c>
      <c r="F142" s="3">
        <f t="shared" si="14"/>
        <v>1.085986971143285</v>
      </c>
    </row>
    <row r="143" spans="1:6" x14ac:dyDescent="0.25">
      <c r="A143" s="3">
        <f t="shared" si="15"/>
        <v>131</v>
      </c>
      <c r="B143" s="3">
        <f t="shared" si="16"/>
        <v>131</v>
      </c>
      <c r="C143" s="3">
        <f t="shared" si="17"/>
        <v>221.73771889507225</v>
      </c>
      <c r="D143" s="3">
        <f t="shared" si="12"/>
        <v>1.2547404182591753</v>
      </c>
      <c r="E143" s="3">
        <f t="shared" si="13"/>
        <v>222.80016551922861</v>
      </c>
      <c r="F143" s="3">
        <f t="shared" si="14"/>
        <v>1.0624466241563653</v>
      </c>
    </row>
    <row r="144" spans="1:6" x14ac:dyDescent="0.25">
      <c r="A144" s="3">
        <f t="shared" si="15"/>
        <v>132</v>
      </c>
      <c r="B144" s="3">
        <f t="shared" si="16"/>
        <v>132</v>
      </c>
      <c r="C144" s="3">
        <f t="shared" si="17"/>
        <v>222.99245931333144</v>
      </c>
      <c r="D144" s="3">
        <f t="shared" si="12"/>
        <v>1.2374021273227449</v>
      </c>
      <c r="E144" s="3">
        <f t="shared" si="13"/>
        <v>224.03166907034145</v>
      </c>
      <c r="F144" s="3">
        <f t="shared" si="14"/>
        <v>1.0392097570100134</v>
      </c>
    </row>
    <row r="145" spans="1:6" x14ac:dyDescent="0.25">
      <c r="A145" s="3">
        <f t="shared" si="15"/>
        <v>133</v>
      </c>
      <c r="B145" s="3">
        <f t="shared" si="16"/>
        <v>133</v>
      </c>
      <c r="C145" s="3">
        <f t="shared" si="17"/>
        <v>224.22986144065419</v>
      </c>
      <c r="D145" s="3">
        <f t="shared" si="12"/>
        <v>1.2202027669240596</v>
      </c>
      <c r="E145" s="3">
        <f t="shared" si="13"/>
        <v>225.24614072907372</v>
      </c>
      <c r="F145" s="3">
        <f t="shared" si="14"/>
        <v>1.0162792884195255</v>
      </c>
    </row>
    <row r="146" spans="1:6" x14ac:dyDescent="0.25">
      <c r="A146" s="3">
        <f t="shared" si="15"/>
        <v>134</v>
      </c>
      <c r="B146" s="3">
        <f t="shared" si="16"/>
        <v>134</v>
      </c>
      <c r="C146" s="3">
        <f t="shared" si="17"/>
        <v>225.45006420757824</v>
      </c>
      <c r="D146" s="3">
        <f t="shared" si="12"/>
        <v>1.203145265700027</v>
      </c>
      <c r="E146" s="3">
        <f t="shared" si="13"/>
        <v>226.44372196815863</v>
      </c>
      <c r="F146" s="3">
        <f t="shared" si="14"/>
        <v>0.99365776058039046</v>
      </c>
    </row>
    <row r="147" spans="1:6" x14ac:dyDescent="0.25">
      <c r="A147" s="3">
        <f t="shared" si="15"/>
        <v>135</v>
      </c>
      <c r="B147" s="3">
        <f t="shared" si="16"/>
        <v>135</v>
      </c>
      <c r="C147" s="3">
        <f t="shared" si="17"/>
        <v>226.65320947327825</v>
      </c>
      <c r="D147" s="3">
        <f t="shared" si="12"/>
        <v>1.1862323445921155</v>
      </c>
      <c r="E147" s="3">
        <f t="shared" si="13"/>
        <v>227.62455682820234</v>
      </c>
      <c r="F147" s="3">
        <f t="shared" si="14"/>
        <v>0.97134735492409163</v>
      </c>
    </row>
    <row r="148" spans="1:6" x14ac:dyDescent="0.25">
      <c r="A148" s="3">
        <f t="shared" si="15"/>
        <v>136</v>
      </c>
      <c r="B148" s="3">
        <f t="shared" si="16"/>
        <v>136</v>
      </c>
      <c r="C148" s="3">
        <f t="shared" si="17"/>
        <v>227.83944181787038</v>
      </c>
      <c r="D148" s="3">
        <f t="shared" si="12"/>
        <v>1.169466524153342</v>
      </c>
      <c r="E148" s="3">
        <f t="shared" si="13"/>
        <v>228.78879172535426</v>
      </c>
      <c r="F148" s="3">
        <f t="shared" si="14"/>
        <v>0.94934990748387804</v>
      </c>
    </row>
    <row r="149" spans="1:6" x14ac:dyDescent="0.25">
      <c r="A149" s="3">
        <f t="shared" si="15"/>
        <v>137</v>
      </c>
      <c r="B149" s="3">
        <f t="shared" si="16"/>
        <v>137</v>
      </c>
      <c r="C149" s="3">
        <f t="shared" si="17"/>
        <v>229.00890834202372</v>
      </c>
      <c r="D149" s="3">
        <f t="shared" si="12"/>
        <v>1.1528501316933328</v>
      </c>
      <c r="E149" s="3">
        <f t="shared" si="13"/>
        <v>229.93657526589476</v>
      </c>
      <c r="F149" s="3">
        <f t="shared" si="14"/>
        <v>0.92766692387104399</v>
      </c>
    </row>
    <row r="150" spans="1:6" x14ac:dyDescent="0.25">
      <c r="A150" s="3">
        <f t="shared" si="15"/>
        <v>138</v>
      </c>
      <c r="B150" s="3">
        <f t="shared" si="16"/>
        <v>138</v>
      </c>
      <c r="C150" s="3">
        <f t="shared" si="17"/>
        <v>230.16175847371704</v>
      </c>
      <c r="D150" s="3">
        <f t="shared" si="12"/>
        <v>1.1363853082608255</v>
      </c>
      <c r="E150" s="3">
        <f t="shared" si="13"/>
        <v>231.06805806757654</v>
      </c>
      <c r="F150" s="3">
        <f t="shared" si="14"/>
        <v>0.90629959385950087</v>
      </c>
    </row>
    <row r="151" spans="1:6" x14ac:dyDescent="0.25">
      <c r="A151" s="3">
        <f t="shared" si="15"/>
        <v>139</v>
      </c>
      <c r="B151" s="3">
        <f t="shared" si="16"/>
        <v>139</v>
      </c>
      <c r="C151" s="3">
        <f t="shared" si="17"/>
        <v>231.29814378197787</v>
      </c>
      <c r="D151" s="3">
        <f t="shared" si="12"/>
        <v>1.120074015463318</v>
      </c>
      <c r="E151" s="3">
        <f t="shared" si="13"/>
        <v>232.18339258755756</v>
      </c>
      <c r="F151" s="3">
        <f t="shared" si="14"/>
        <v>0.88524880557969254</v>
      </c>
    </row>
    <row r="152" spans="1:6" x14ac:dyDescent="0.25">
      <c r="A152" s="3">
        <f t="shared" si="15"/>
        <v>140</v>
      </c>
      <c r="B152" s="3">
        <f t="shared" si="16"/>
        <v>140</v>
      </c>
      <c r="C152" s="3">
        <f t="shared" si="17"/>
        <v>232.4182177974412</v>
      </c>
      <c r="D152" s="3">
        <f t="shared" si="12"/>
        <v>1.1039180421239398</v>
      </c>
      <c r="E152" s="3">
        <f t="shared" si="13"/>
        <v>233.2827329567624</v>
      </c>
      <c r="F152" s="3">
        <f t="shared" si="14"/>
        <v>0.8645151593212006</v>
      </c>
    </row>
    <row r="153" spans="1:6" x14ac:dyDescent="0.25">
      <c r="A153" s="3">
        <f t="shared" si="15"/>
        <v>141</v>
      </c>
      <c r="B153" s="3">
        <f t="shared" si="16"/>
        <v>141</v>
      </c>
      <c r="C153" s="3">
        <f t="shared" si="17"/>
        <v>233.52213583956515</v>
      </c>
      <c r="D153" s="3">
        <f t="shared" si="12"/>
        <v>1.0879190107758261</v>
      </c>
      <c r="E153" s="3">
        <f t="shared" si="13"/>
        <v>234.36623482051343</v>
      </c>
      <c r="F153" s="3">
        <f t="shared" si="14"/>
        <v>0.8440989809482744</v>
      </c>
    </row>
    <row r="154" spans="1:6" x14ac:dyDescent="0.25">
      <c r="A154" s="3">
        <f t="shared" si="15"/>
        <v>142</v>
      </c>
      <c r="B154" s="3">
        <f t="shared" si="16"/>
        <v>142</v>
      </c>
      <c r="C154" s="3">
        <f t="shared" si="17"/>
        <v>234.61005485034099</v>
      </c>
      <c r="D154" s="3">
        <f t="shared" si="12"/>
        <v>1.0720783839946362</v>
      </c>
      <c r="E154" s="3">
        <f t="shared" si="13"/>
        <v>235.4340551852691</v>
      </c>
      <c r="F154" s="3">
        <f t="shared" si="14"/>
        <v>0.82400033492811531</v>
      </c>
    </row>
    <row r="155" spans="1:6" x14ac:dyDescent="0.25">
      <c r="A155" s="3">
        <f t="shared" si="15"/>
        <v>143</v>
      </c>
      <c r="B155" s="3">
        <f t="shared" si="16"/>
        <v>143</v>
      </c>
      <c r="C155" s="3">
        <f t="shared" si="17"/>
        <v>235.68213323433562</v>
      </c>
      <c r="D155" s="3">
        <f t="shared" si="12"/>
        <v>1.0563974705700565</v>
      </c>
      <c r="E155" s="3">
        <f t="shared" si="13"/>
        <v>236.48635227131291</v>
      </c>
      <c r="F155" s="3">
        <f t="shared" si="14"/>
        <v>0.80421903697728681</v>
      </c>
    </row>
    <row r="156" spans="1:6" x14ac:dyDescent="0.25">
      <c r="A156" s="3">
        <f t="shared" si="15"/>
        <v>144</v>
      </c>
      <c r="B156" s="3">
        <f t="shared" si="16"/>
        <v>144</v>
      </c>
      <c r="C156" s="3">
        <f t="shared" si="17"/>
        <v>236.73853070490568</v>
      </c>
      <c r="D156" s="3">
        <f t="shared" si="12"/>
        <v>1.0408774315173626</v>
      </c>
      <c r="E156" s="3">
        <f t="shared" si="13"/>
        <v>237.52328537123222</v>
      </c>
      <c r="F156" s="3">
        <f t="shared" si="14"/>
        <v>0.78475466632653479</v>
      </c>
    </row>
    <row r="157" spans="1:6" x14ac:dyDescent="0.25">
      <c r="A157" s="3">
        <f t="shared" si="15"/>
        <v>145</v>
      </c>
      <c r="B157" s="3">
        <f t="shared" si="16"/>
        <v>145</v>
      </c>
      <c r="C157" s="3">
        <f t="shared" si="17"/>
        <v>237.77940813642306</v>
      </c>
      <c r="D157" s="3">
        <f t="shared" si="12"/>
        <v>1.0255192859303353</v>
      </c>
      <c r="E157" s="3">
        <f t="shared" si="13"/>
        <v>238.54501471403594</v>
      </c>
      <c r="F157" s="3">
        <f t="shared" si="14"/>
        <v>0.76560657761288553</v>
      </c>
    </row>
    <row r="158" spans="1:6" x14ac:dyDescent="0.25">
      <c r="A158" s="3">
        <f t="shared" si="15"/>
        <v>146</v>
      </c>
      <c r="B158" s="3">
        <f t="shared" si="16"/>
        <v>146</v>
      </c>
      <c r="C158" s="3">
        <f t="shared" si="17"/>
        <v>238.80492742235339</v>
      </c>
      <c r="D158" s="3">
        <f t="shared" si="12"/>
        <v>1.0103239166770046</v>
      </c>
      <c r="E158" s="3">
        <f t="shared" si="13"/>
        <v>239.55170133475167</v>
      </c>
      <c r="F158" s="3">
        <f t="shared" si="14"/>
        <v>0.74677391239828239</v>
      </c>
    </row>
    <row r="159" spans="1:6" x14ac:dyDescent="0.25">
      <c r="A159" s="3">
        <f t="shared" si="15"/>
        <v>147</v>
      </c>
      <c r="B159" s="3">
        <f t="shared" si="16"/>
        <v>147</v>
      </c>
      <c r="C159" s="3">
        <f t="shared" si="17"/>
        <v>239.8152513390304</v>
      </c>
      <c r="D159" s="3">
        <f t="shared" si="12"/>
        <v>0.99529207593986857</v>
      </c>
      <c r="E159" s="3">
        <f t="shared" si="13"/>
        <v>240.54350694935377</v>
      </c>
      <c r="F159" s="3">
        <f t="shared" si="14"/>
        <v>0.72825561032337305</v>
      </c>
    </row>
    <row r="160" spans="1:6" x14ac:dyDescent="0.25">
      <c r="A160" s="3">
        <f t="shared" si="15"/>
        <v>148</v>
      </c>
      <c r="B160" s="3">
        <f t="shared" si="16"/>
        <v>148</v>
      </c>
      <c r="C160" s="3">
        <f t="shared" si="17"/>
        <v>240.81054341497025</v>
      </c>
      <c r="D160" s="3">
        <f t="shared" si="12"/>
        <v>0.98042439060239528</v>
      </c>
      <c r="E160" s="3">
        <f t="shared" si="13"/>
        <v>241.52059383487054</v>
      </c>
      <c r="F160" s="3">
        <f t="shared" si="14"/>
        <v>0.71005041990028417</v>
      </c>
    </row>
    <row r="161" spans="1:6" x14ac:dyDescent="0.25">
      <c r="A161" s="3">
        <f t="shared" si="15"/>
        <v>149</v>
      </c>
      <c r="B161" s="3">
        <f t="shared" si="16"/>
        <v>149</v>
      </c>
      <c r="C161" s="3">
        <f t="shared" si="17"/>
        <v>241.79096780557265</v>
      </c>
      <c r="D161" s="3">
        <f t="shared" si="12"/>
        <v>0.96572136748372039</v>
      </c>
      <c r="E161" s="3">
        <f t="shared" si="13"/>
        <v>242.48312471452289</v>
      </c>
      <c r="F161" s="3">
        <f t="shared" si="14"/>
        <v>0.6921569089502384</v>
      </c>
    </row>
    <row r="162" spans="1:6" x14ac:dyDescent="0.25">
      <c r="A162" s="3">
        <f t="shared" si="15"/>
        <v>150</v>
      </c>
      <c r="B162" s="3">
        <f t="shared" si="16"/>
        <v>150</v>
      </c>
      <c r="C162" s="3">
        <f t="shared" si="17"/>
        <v>242.75668917305637</v>
      </c>
      <c r="D162" s="3">
        <f t="shared" si="12"/>
        <v>0.9511833984236745</v>
      </c>
      <c r="E162" s="3">
        <f t="shared" si="13"/>
        <v>243.43126264774835</v>
      </c>
      <c r="F162" s="3">
        <f t="shared" si="14"/>
        <v>0.67457347469198226</v>
      </c>
    </row>
    <row r="163" spans="1:6" x14ac:dyDescent="0.25">
      <c r="A163" s="3">
        <f t="shared" si="15"/>
        <v>151</v>
      </c>
      <c r="B163" s="3">
        <f t="shared" si="16"/>
        <v>151</v>
      </c>
      <c r="C163" s="3">
        <f t="shared" si="17"/>
        <v>243.70787257148004</v>
      </c>
      <c r="D163" s="3">
        <f t="shared" si="12"/>
        <v>0.93681076522021101</v>
      </c>
      <c r="E163" s="3">
        <f t="shared" si="13"/>
        <v>244.36517092496643</v>
      </c>
      <c r="F163" s="3">
        <f t="shared" si="14"/>
        <v>0.65729835348639654</v>
      </c>
    </row>
    <row r="164" spans="1:6" x14ac:dyDescent="0.25">
      <c r="A164" s="3">
        <f t="shared" si="15"/>
        <v>152</v>
      </c>
      <c r="B164" s="3">
        <f t="shared" si="16"/>
        <v>152</v>
      </c>
      <c r="C164" s="3">
        <f t="shared" si="17"/>
        <v>244.64468333670024</v>
      </c>
      <c r="D164" s="3">
        <f t="shared" si="12"/>
        <v>0.9226036444216178</v>
      </c>
      <c r="E164" s="3">
        <f t="shared" si="13"/>
        <v>245.28501296694603</v>
      </c>
      <c r="F164" s="3">
        <f t="shared" si="14"/>
        <v>0.64032963024578748</v>
      </c>
    </row>
    <row r="165" spans="1:6" x14ac:dyDescent="0.25">
      <c r="A165" s="3">
        <f t="shared" si="15"/>
        <v>153</v>
      </c>
      <c r="B165" s="3">
        <f t="shared" si="16"/>
        <v>153</v>
      </c>
      <c r="C165" s="3">
        <f t="shared" si="17"/>
        <v>245.56728698112187</v>
      </c>
      <c r="D165" s="3">
        <f t="shared" si="12"/>
        <v>0.90856211197579806</v>
      </c>
      <c r="E165" s="3">
        <f t="shared" si="13"/>
        <v>246.19095222863291</v>
      </c>
      <c r="F165" s="3">
        <f t="shared" si="14"/>
        <v>0.6236652475110418</v>
      </c>
    </row>
    <row r="166" spans="1:6" x14ac:dyDescent="0.25">
      <c r="A166" s="3">
        <f t="shared" si="15"/>
        <v>154</v>
      </c>
      <c r="B166" s="3">
        <f t="shared" si="16"/>
        <v>154</v>
      </c>
      <c r="C166" s="3">
        <f t="shared" si="17"/>
        <v>246.47584909309768</v>
      </c>
      <c r="D166" s="3">
        <f t="shared" si="12"/>
        <v>0.89468614773907795</v>
      </c>
      <c r="E166" s="3">
        <f t="shared" si="13"/>
        <v>247.08315210730473</v>
      </c>
      <c r="F166" s="3">
        <f t="shared" si="14"/>
        <v>0.60730301420704791</v>
      </c>
    </row>
    <row r="167" spans="1:6" x14ac:dyDescent="0.25">
      <c r="A167" s="3">
        <f t="shared" si="15"/>
        <v>155</v>
      </c>
      <c r="B167" s="3">
        <f t="shared" si="16"/>
        <v>155</v>
      </c>
      <c r="C167" s="3">
        <f t="shared" si="17"/>
        <v>247.37053524083674</v>
      </c>
      <c r="D167" s="3">
        <f t="shared" si="12"/>
        <v>0.88097563984706195</v>
      </c>
      <c r="E167" s="3">
        <f t="shared" si="13"/>
        <v>247.96177585491682</v>
      </c>
      <c r="F167" s="3">
        <f t="shared" si="14"/>
        <v>0.59124061408007833</v>
      </c>
    </row>
    <row r="168" spans="1:6" x14ac:dyDescent="0.25">
      <c r="A168" s="3">
        <f t="shared" si="15"/>
        <v>156</v>
      </c>
      <c r="B168" s="3">
        <f t="shared" si="16"/>
        <v>156</v>
      </c>
      <c r="C168" s="3">
        <f t="shared" si="17"/>
        <v>248.25151088068381</v>
      </c>
      <c r="D168" s="3">
        <f t="shared" si="12"/>
        <v>0.86743038895003477</v>
      </c>
      <c r="E168" s="3">
        <f t="shared" si="13"/>
        <v>248.8269864945099</v>
      </c>
      <c r="F168" s="3">
        <f t="shared" si="14"/>
        <v>0.57547561382608592</v>
      </c>
    </row>
    <row r="169" spans="1:6" x14ac:dyDescent="0.25">
      <c r="A169" s="3">
        <f t="shared" si="15"/>
        <v>157</v>
      </c>
      <c r="B169" s="3">
        <f t="shared" si="16"/>
        <v>157</v>
      </c>
      <c r="C169" s="3">
        <f t="shared" si="17"/>
        <v>249.11894126963384</v>
      </c>
      <c r="D169" s="3">
        <f t="shared" si="12"/>
        <v>0.85405011231558314</v>
      </c>
      <c r="E169" s="3">
        <f t="shared" si="13"/>
        <v>249.67894674055054</v>
      </c>
      <c r="F169" s="3">
        <f t="shared" si="14"/>
        <v>0.56000547091670683</v>
      </c>
    </row>
    <row r="170" spans="1:6" x14ac:dyDescent="0.25">
      <c r="A170" s="3">
        <f t="shared" si="15"/>
        <v>158</v>
      </c>
      <c r="B170" s="3">
        <f t="shared" si="16"/>
        <v>158</v>
      </c>
      <c r="C170" s="3">
        <f t="shared" si="17"/>
        <v>249.97299138194941</v>
      </c>
      <c r="D170" s="3">
        <f t="shared" si="12"/>
        <v>0.84083444780099614</v>
      </c>
      <c r="E170" s="3">
        <f t="shared" si="13"/>
        <v>250.51781892307744</v>
      </c>
      <c r="F170" s="3">
        <f t="shared" si="14"/>
        <v>0.54482754112802922</v>
      </c>
    </row>
    <row r="171" spans="1:6" x14ac:dyDescent="0.25">
      <c r="A171" s="3">
        <f t="shared" si="15"/>
        <v>159</v>
      </c>
      <c r="B171" s="3">
        <f t="shared" si="16"/>
        <v>159</v>
      </c>
      <c r="C171" s="3">
        <f t="shared" si="17"/>
        <v>250.81382582975041</v>
      </c>
      <c r="D171" s="3">
        <f t="shared" si="12"/>
        <v>0.82778295769818766</v>
      </c>
      <c r="E171" s="3">
        <f t="shared" si="13"/>
        <v>251.34376491553303</v>
      </c>
      <c r="F171" s="3">
        <f t="shared" si="14"/>
        <v>0.52993908578261539</v>
      </c>
    </row>
    <row r="172" spans="1:6" x14ac:dyDescent="0.25">
      <c r="A172" s="3">
        <f t="shared" si="15"/>
        <v>160</v>
      </c>
      <c r="B172" s="3">
        <f t="shared" si="16"/>
        <v>160</v>
      </c>
      <c r="C172" s="3">
        <f t="shared" si="17"/>
        <v>251.6416087874486</v>
      </c>
      <c r="D172" s="3">
        <f t="shared" si="12"/>
        <v>0.81489513245374745</v>
      </c>
      <c r="E172" s="3">
        <f t="shared" si="13"/>
        <v>252.15694606615767</v>
      </c>
      <c r="F172" s="3">
        <f t="shared" si="14"/>
        <v>0.51533727870906887</v>
      </c>
    </row>
    <row r="173" spans="1:6" x14ac:dyDescent="0.25">
      <c r="A173" s="3">
        <f t="shared" si="15"/>
        <v>161</v>
      </c>
      <c r="B173" s="3">
        <f t="shared" si="16"/>
        <v>161</v>
      </c>
      <c r="C173" s="3">
        <f t="shared" si="17"/>
        <v>252.45650391990236</v>
      </c>
      <c r="D173" s="3">
        <f t="shared" si="12"/>
        <v>0.80217039426690384</v>
      </c>
      <c r="E173" s="3">
        <f t="shared" si="13"/>
        <v>252.95752313283006</v>
      </c>
      <c r="F173" s="3">
        <f t="shared" si="14"/>
        <v>0.50101921292770157</v>
      </c>
    </row>
    <row r="174" spans="1:6" x14ac:dyDescent="0.25">
      <c r="A174" s="3">
        <f t="shared" si="15"/>
        <v>162</v>
      </c>
      <c r="B174" s="3">
        <f t="shared" si="16"/>
        <v>162</v>
      </c>
      <c r="C174" s="3">
        <f t="shared" si="17"/>
        <v>253.25867431416927</v>
      </c>
      <c r="D174" s="3">
        <f t="shared" si="12"/>
        <v>0.78960810056804542</v>
      </c>
      <c r="E174" s="3">
        <f t="shared" si="13"/>
        <v>253.74565622123831</v>
      </c>
      <c r="F174" s="3">
        <f t="shared" si="14"/>
        <v>0.48698190706903688</v>
      </c>
    </row>
    <row r="175" spans="1:6" x14ac:dyDescent="0.25">
      <c r="A175" s="3">
        <f t="shared" si="15"/>
        <v>163</v>
      </c>
      <c r="B175" s="3">
        <f t="shared" si="16"/>
        <v>163</v>
      </c>
      <c r="C175" s="3">
        <f t="shared" si="17"/>
        <v>254.04828241473732</v>
      </c>
      <c r="D175" s="3">
        <f t="shared" si="12"/>
        <v>0.7772075473805734</v>
      </c>
      <c r="E175" s="3">
        <f t="shared" si="13"/>
        <v>254.52150472626957</v>
      </c>
      <c r="F175" s="3">
        <f t="shared" si="14"/>
        <v>0.47322231153225403</v>
      </c>
    </row>
    <row r="176" spans="1:6" x14ac:dyDescent="0.25">
      <c r="A176" s="3">
        <f t="shared" si="15"/>
        <v>164</v>
      </c>
      <c r="B176" s="3">
        <f t="shared" si="16"/>
        <v>164</v>
      </c>
      <c r="C176" s="3">
        <f t="shared" si="17"/>
        <v>254.8254899621179</v>
      </c>
      <c r="D176" s="3">
        <f t="shared" si="12"/>
        <v>0.76496797256874871</v>
      </c>
      <c r="E176" s="3">
        <f t="shared" si="13"/>
        <v>255.28522727650852</v>
      </c>
      <c r="F176" s="3">
        <f t="shared" si="14"/>
        <v>0.45973731439062249</v>
      </c>
    </row>
    <row r="177" spans="1:6" x14ac:dyDescent="0.25">
      <c r="A177" s="3">
        <f t="shared" si="15"/>
        <v>165</v>
      </c>
      <c r="B177" s="3">
        <f t="shared" si="16"/>
        <v>165</v>
      </c>
      <c r="C177" s="3">
        <f t="shared" si="17"/>
        <v>255.59045793468664</v>
      </c>
      <c r="D177" s="3">
        <f t="shared" si="12"/>
        <v>0.7528885589742853</v>
      </c>
      <c r="E177" s="3">
        <f t="shared" si="13"/>
        <v>256.03698168173878</v>
      </c>
      <c r="F177" s="3">
        <f t="shared" si="14"/>
        <v>0.44652374705214015</v>
      </c>
    </row>
    <row r="178" spans="1:6" x14ac:dyDescent="0.25">
      <c r="A178" s="3">
        <f t="shared" si="15"/>
        <v>166</v>
      </c>
      <c r="B178" s="3">
        <f t="shared" si="16"/>
        <v>166</v>
      </c>
      <c r="C178" s="3">
        <f t="shared" si="17"/>
        <v>256.34334649366093</v>
      </c>
      <c r="D178" s="3">
        <f t="shared" si="12"/>
        <v>0.74096843744435181</v>
      </c>
      <c r="E178" s="3">
        <f t="shared" si="13"/>
        <v>256.77692488333969</v>
      </c>
      <c r="F178" s="3">
        <f t="shared" si="14"/>
        <v>0.4335783896787575</v>
      </c>
    </row>
    <row r="179" spans="1:6" x14ac:dyDescent="0.25">
      <c r="A179" s="3">
        <f t="shared" si="15"/>
        <v>167</v>
      </c>
      <c r="B179" s="3">
        <f t="shared" si="16"/>
        <v>167</v>
      </c>
      <c r="C179" s="3">
        <f t="shared" si="17"/>
        <v>257.08431493110527</v>
      </c>
      <c r="D179" s="3">
        <f t="shared" si="12"/>
        <v>0.72920668975370417</v>
      </c>
      <c r="E179" s="3">
        <f t="shared" si="13"/>
        <v>257.50521290748208</v>
      </c>
      <c r="F179" s="3">
        <f t="shared" si="14"/>
        <v>0.42089797637680704</v>
      </c>
    </row>
    <row r="180" spans="1:6" x14ac:dyDescent="0.25">
      <c r="A180" s="3">
        <f t="shared" si="15"/>
        <v>168</v>
      </c>
      <c r="B180" s="3">
        <f t="shared" si="16"/>
        <v>168</v>
      </c>
      <c r="C180" s="3">
        <f t="shared" si="17"/>
        <v>257.81352162085898</v>
      </c>
      <c r="D180" s="3">
        <f t="shared" si="12"/>
        <v>0.71760235142357487</v>
      </c>
      <c r="E180" s="3">
        <f t="shared" si="13"/>
        <v>258.22200082101841</v>
      </c>
      <c r="F180" s="3">
        <f t="shared" si="14"/>
        <v>0.40847920015943373</v>
      </c>
    </row>
    <row r="181" spans="1:6" x14ac:dyDescent="0.25">
      <c r="A181" s="3">
        <f t="shared" si="15"/>
        <v>169</v>
      </c>
      <c r="B181" s="3">
        <f t="shared" si="16"/>
        <v>169</v>
      </c>
      <c r="C181" s="3">
        <f t="shared" si="17"/>
        <v>258.53112397228256</v>
      </c>
      <c r="D181" s="3">
        <f t="shared" si="12"/>
        <v>0.70615441443997395</v>
      </c>
      <c r="E181" s="3">
        <f t="shared" si="13"/>
        <v>258.92744268997535</v>
      </c>
      <c r="F181" s="3">
        <f t="shared" si="14"/>
        <v>0.39631871769279314</v>
      </c>
    </row>
    <row r="182" spans="1:6" x14ac:dyDescent="0.25">
      <c r="A182" s="3">
        <f t="shared" si="15"/>
        <v>170</v>
      </c>
      <c r="B182" s="3">
        <f t="shared" si="16"/>
        <v>170</v>
      </c>
      <c r="C182" s="3">
        <f t="shared" si="17"/>
        <v>259.23727838672255</v>
      </c>
      <c r="D182" s="3">
        <f t="shared" si="12"/>
        <v>0.69486182987403688</v>
      </c>
      <c r="E182" s="3">
        <f t="shared" si="13"/>
        <v>259.62169154055141</v>
      </c>
      <c r="F182" s="3">
        <f t="shared" si="14"/>
        <v>0.38441315382885932</v>
      </c>
    </row>
    <row r="183" spans="1:6" x14ac:dyDescent="0.25">
      <c r="A183" s="3">
        <f t="shared" si="15"/>
        <v>171</v>
      </c>
      <c r="B183" s="3">
        <f t="shared" si="16"/>
        <v>171</v>
      </c>
      <c r="C183" s="3">
        <f t="shared" si="17"/>
        <v>259.93214021659657</v>
      </c>
      <c r="D183" s="3">
        <f t="shared" si="12"/>
        <v>0.6837235104069842</v>
      </c>
      <c r="E183" s="3">
        <f t="shared" si="13"/>
        <v>260.3048993225301</v>
      </c>
      <c r="F183" s="3">
        <f t="shared" si="14"/>
        <v>0.37275910593353956</v>
      </c>
    </row>
    <row r="184" spans="1:6" x14ac:dyDescent="0.25">
      <c r="A184" s="3">
        <f t="shared" si="15"/>
        <v>172</v>
      </c>
      <c r="B184" s="3">
        <f t="shared" si="16"/>
        <v>172</v>
      </c>
      <c r="C184" s="3">
        <f t="shared" si="17"/>
        <v>260.61586372700356</v>
      </c>
      <c r="D184" s="3">
        <f t="shared" si="12"/>
        <v>0.67273833276226136</v>
      </c>
      <c r="E184" s="3">
        <f t="shared" si="13"/>
        <v>260.97721687502064</v>
      </c>
      <c r="F184" s="3">
        <f t="shared" si="14"/>
        <v>0.36135314801708773</v>
      </c>
    </row>
    <row r="185" spans="1:6" x14ac:dyDescent="0.25">
      <c r="A185" s="3">
        <f t="shared" si="15"/>
        <v>173</v>
      </c>
      <c r="B185" s="3">
        <f t="shared" si="16"/>
        <v>173</v>
      </c>
      <c r="C185" s="3">
        <f t="shared" si="17"/>
        <v>261.28860205976582</v>
      </c>
      <c r="D185" s="3">
        <f t="shared" si="12"/>
        <v>0.66190514004739076</v>
      </c>
      <c r="E185" s="3">
        <f t="shared" si="13"/>
        <v>261.63879389443525</v>
      </c>
      <c r="F185" s="3">
        <f t="shared" si="14"/>
        <v>0.35019183466943105</v>
      </c>
    </row>
    <row r="186" spans="1:6" x14ac:dyDescent="0.25">
      <c r="A186" s="3">
        <f t="shared" si="15"/>
        <v>174</v>
      </c>
      <c r="B186" s="3">
        <f t="shared" si="16"/>
        <v>174</v>
      </c>
      <c r="C186" s="3">
        <f t="shared" si="17"/>
        <v>261.95050719981322</v>
      </c>
      <c r="D186" s="3">
        <f t="shared" si="12"/>
        <v>0.65122274400801972</v>
      </c>
      <c r="E186" s="3">
        <f t="shared" si="13"/>
        <v>262.28977890462568</v>
      </c>
      <c r="F186" s="3">
        <f t="shared" si="14"/>
        <v>0.33927170481246094</v>
      </c>
    </row>
    <row r="187" spans="1:6" x14ac:dyDescent="0.25">
      <c r="A187" s="3">
        <f t="shared" si="15"/>
        <v>175</v>
      </c>
      <c r="B187" s="3">
        <f t="shared" si="16"/>
        <v>175</v>
      </c>
      <c r="C187" s="3">
        <f t="shared" si="17"/>
        <v>262.60172994382123</v>
      </c>
      <c r="D187" s="3">
        <f t="shared" si="12"/>
        <v>0.64068992719662243</v>
      </c>
      <c r="E187" s="3">
        <f t="shared" si="13"/>
        <v>262.93031922909188</v>
      </c>
      <c r="F187" s="3">
        <f t="shared" si="14"/>
        <v>0.32858928527065245</v>
      </c>
    </row>
    <row r="188" spans="1:6" x14ac:dyDescent="0.25">
      <c r="A188" s="3">
        <f t="shared" si="15"/>
        <v>176</v>
      </c>
      <c r="B188" s="3">
        <f t="shared" si="16"/>
        <v>176</v>
      </c>
      <c r="C188" s="3">
        <f t="shared" si="17"/>
        <v>263.24241987101783</v>
      </c>
      <c r="D188" s="3">
        <f t="shared" si="12"/>
        <v>0.63030544505827568</v>
      </c>
      <c r="E188" s="3">
        <f t="shared" si="13"/>
        <v>263.56056096518438</v>
      </c>
      <c r="F188" s="3">
        <f t="shared" si="14"/>
        <v>0.31814109416654901</v>
      </c>
    </row>
    <row r="189" spans="1:6" x14ac:dyDescent="0.25">
      <c r="A189" s="3">
        <f t="shared" si="15"/>
        <v>177</v>
      </c>
      <c r="B189" s="3">
        <f t="shared" si="16"/>
        <v>177</v>
      </c>
      <c r="C189" s="3">
        <f t="shared" si="17"/>
        <v>263.87272531607613</v>
      </c>
      <c r="D189" s="3">
        <f t="shared" si="12"/>
        <v>0.62006802793588134</v>
      </c>
      <c r="E189" s="3">
        <f t="shared" si="13"/>
        <v>264.18064896022611</v>
      </c>
      <c r="F189" s="3">
        <f t="shared" si="14"/>
        <v>0.30792364414998019</v>
      </c>
    </row>
    <row r="190" spans="1:6" x14ac:dyDescent="0.25">
      <c r="A190" s="3">
        <f t="shared" si="15"/>
        <v>178</v>
      </c>
      <c r="B190" s="3">
        <f t="shared" si="16"/>
        <v>178</v>
      </c>
      <c r="C190" s="3">
        <f t="shared" si="17"/>
        <v>264.492793344012</v>
      </c>
      <c r="D190" s="3">
        <f t="shared" si="12"/>
        <v>0.6099763829971947</v>
      </c>
      <c r="E190" s="3">
        <f t="shared" si="13"/>
        <v>264.79072678947631</v>
      </c>
      <c r="F190" s="3">
        <f t="shared" si="14"/>
        <v>0.29793344546430944</v>
      </c>
    </row>
    <row r="191" spans="1:6" x14ac:dyDescent="0.25">
      <c r="A191" s="3">
        <f t="shared" si="15"/>
        <v>179</v>
      </c>
      <c r="B191" s="3">
        <f t="shared" si="16"/>
        <v>179</v>
      </c>
      <c r="C191" s="3">
        <f t="shared" si="17"/>
        <v>265.10276972700922</v>
      </c>
      <c r="D191" s="3">
        <f t="shared" si="12"/>
        <v>0.60002919608591165</v>
      </c>
      <c r="E191" s="3">
        <f t="shared" si="13"/>
        <v>265.39093673586342</v>
      </c>
      <c r="F191" s="3">
        <f t="shared" si="14"/>
        <v>0.28816700885420232</v>
      </c>
    </row>
    <row r="192" spans="1:6" x14ac:dyDescent="0.25">
      <c r="A192" s="3">
        <f t="shared" si="15"/>
        <v>180</v>
      </c>
      <c r="B192" s="3">
        <f t="shared" si="16"/>
        <v>180</v>
      </c>
      <c r="C192" s="3">
        <f t="shared" si="17"/>
        <v>265.70279892309514</v>
      </c>
      <c r="D192" s="3">
        <f t="shared" si="12"/>
        <v>0.59022513349911765</v>
      </c>
      <c r="E192" s="3">
        <f t="shared" si="13"/>
        <v>265.98141977142052</v>
      </c>
      <c r="F192" s="3">
        <f t="shared" si="14"/>
        <v>0.27862084832537448</v>
      </c>
    </row>
    <row r="193" spans="1:6" x14ac:dyDescent="0.25">
      <c r="A193" s="3">
        <f t="shared" si="15"/>
        <v>181</v>
      </c>
      <c r="B193" s="3">
        <f t="shared" si="16"/>
        <v>181</v>
      </c>
      <c r="C193" s="3">
        <f t="shared" si="17"/>
        <v>266.29302405659428</v>
      </c>
      <c r="D193" s="3">
        <f t="shared" si="12"/>
        <v>0.58056284369328393</v>
      </c>
      <c r="E193" s="3">
        <f t="shared" si="13"/>
        <v>266.56231554034815</v>
      </c>
      <c r="F193" s="3">
        <f t="shared" si="14"/>
        <v>0.26929148375387513</v>
      </c>
    </row>
    <row r="194" spans="1:6" x14ac:dyDescent="0.25">
      <c r="A194" s="3">
        <f t="shared" si="15"/>
        <v>182</v>
      </c>
      <c r="B194" s="3">
        <f t="shared" si="16"/>
        <v>182</v>
      </c>
      <c r="C194" s="3">
        <f t="shared" si="17"/>
        <v>266.87358690028753</v>
      </c>
      <c r="D194" s="3">
        <f t="shared" si="12"/>
        <v>0.57104095892097606</v>
      </c>
      <c r="E194" s="3">
        <f t="shared" si="13"/>
        <v>267.13376234364677</v>
      </c>
      <c r="F194" s="3">
        <f t="shared" si="14"/>
        <v>0.26017544335923048</v>
      </c>
    </row>
    <row r="195" spans="1:6" x14ac:dyDescent="0.25">
      <c r="A195" s="3">
        <f t="shared" si="15"/>
        <v>183</v>
      </c>
      <c r="B195" s="3">
        <f t="shared" si="16"/>
        <v>183</v>
      </c>
      <c r="C195" s="3">
        <f t="shared" si="17"/>
        <v>267.44462785920854</v>
      </c>
      <c r="D195" s="3">
        <f t="shared" si="12"/>
        <v>0.56165809680042045</v>
      </c>
      <c r="E195" s="3">
        <f t="shared" si="13"/>
        <v>267.69589712524726</v>
      </c>
      <c r="F195" s="3">
        <f t="shared" si="14"/>
        <v>0.2512692660387188</v>
      </c>
    </row>
    <row r="196" spans="1:6" x14ac:dyDescent="0.25">
      <c r="A196" s="3">
        <f t="shared" si="15"/>
        <v>184</v>
      </c>
      <c r="B196" s="3">
        <f t="shared" si="16"/>
        <v>184</v>
      </c>
      <c r="C196" s="3">
        <f t="shared" si="17"/>
        <v>268.00628595600898</v>
      </c>
      <c r="D196" s="3">
        <f t="shared" si="12"/>
        <v>0.55241286181997074</v>
      </c>
      <c r="E196" s="3">
        <f t="shared" si="13"/>
        <v>268.24885545958125</v>
      </c>
      <c r="F196" s="3">
        <f t="shared" si="14"/>
        <v>0.2425695035722697</v>
      </c>
    </row>
    <row r="197" spans="1:6" x14ac:dyDescent="0.25">
      <c r="A197" s="3">
        <f t="shared" si="15"/>
        <v>185</v>
      </c>
      <c r="B197" s="3">
        <f t="shared" si="16"/>
        <v>185</v>
      </c>
      <c r="C197" s="3">
        <f t="shared" si="17"/>
        <v>268.55869881782894</v>
      </c>
      <c r="D197" s="3">
        <f t="shared" si="12"/>
        <v>0.54330384677956256</v>
      </c>
      <c r="E197" s="3">
        <f t="shared" si="13"/>
        <v>268.79277154053068</v>
      </c>
      <c r="F197" s="3">
        <f t="shared" si="14"/>
        <v>0.23407272270173962</v>
      </c>
    </row>
    <row r="198" spans="1:6" x14ac:dyDescent="0.25">
      <c r="A198" s="3">
        <f t="shared" si="15"/>
        <v>186</v>
      </c>
      <c r="B198" s="3">
        <f t="shared" si="16"/>
        <v>186</v>
      </c>
      <c r="C198" s="3">
        <f t="shared" si="17"/>
        <v>269.10200266460851</v>
      </c>
      <c r="D198" s="3">
        <f t="shared" si="12"/>
        <v>0.53432963417109047</v>
      </c>
      <c r="E198" s="3">
        <f t="shared" si="13"/>
        <v>269.32777817169688</v>
      </c>
      <c r="F198" s="3">
        <f t="shared" si="14"/>
        <v>0.2257755070883718</v>
      </c>
    </row>
    <row r="199" spans="1:6" x14ac:dyDescent="0.25">
      <c r="A199" s="3">
        <f t="shared" si="15"/>
        <v>187</v>
      </c>
      <c r="B199" s="3">
        <f t="shared" si="16"/>
        <v>187</v>
      </c>
      <c r="C199" s="3">
        <f t="shared" si="17"/>
        <v>269.63633229877962</v>
      </c>
      <c r="D199" s="3">
        <f t="shared" si="12"/>
        <v>0.52548879749969479</v>
      </c>
      <c r="E199" s="3">
        <f t="shared" si="13"/>
        <v>269.85400675793454</v>
      </c>
      <c r="F199" s="3">
        <f t="shared" si="14"/>
        <v>0.2176744591549209</v>
      </c>
    </row>
    <row r="200" spans="1:6" x14ac:dyDescent="0.25">
      <c r="A200" s="3">
        <f t="shared" si="15"/>
        <v>188</v>
      </c>
      <c r="B200" s="3">
        <f t="shared" si="16"/>
        <v>188</v>
      </c>
      <c r="C200" s="3">
        <f t="shared" si="17"/>
        <v>270.16182109627931</v>
      </c>
      <c r="D200" s="3">
        <f t="shared" si="12"/>
        <v>0.51677990254783879</v>
      </c>
      <c r="E200" s="3">
        <f t="shared" si="13"/>
        <v>270.37158729809374</v>
      </c>
      <c r="F200" s="3">
        <f t="shared" si="14"/>
        <v>0.20976620181443195</v>
      </c>
    </row>
    <row r="201" spans="1:6" x14ac:dyDescent="0.25">
      <c r="A201" s="3">
        <f t="shared" si="15"/>
        <v>189</v>
      </c>
      <c r="B201" s="3">
        <f t="shared" si="16"/>
        <v>189</v>
      </c>
      <c r="C201" s="3">
        <f t="shared" si="17"/>
        <v>270.67860099882716</v>
      </c>
      <c r="D201" s="3">
        <f t="shared" si="12"/>
        <v>0.50820150858402724</v>
      </c>
      <c r="E201" s="3">
        <f t="shared" si="13"/>
        <v>270.88064837892011</v>
      </c>
      <c r="F201" s="3">
        <f t="shared" si="14"/>
        <v>0.20204738009294942</v>
      </c>
    </row>
    <row r="202" spans="1:6" x14ac:dyDescent="0.25">
      <c r="A202" s="3">
        <f t="shared" si="15"/>
        <v>190</v>
      </c>
      <c r="B202" s="3">
        <f t="shared" si="16"/>
        <v>190</v>
      </c>
      <c r="C202" s="3">
        <f t="shared" si="17"/>
        <v>271.18680250741119</v>
      </c>
      <c r="D202" s="3">
        <f t="shared" si="12"/>
        <v>0.49975216951801116</v>
      </c>
      <c r="E202" s="3">
        <f t="shared" si="13"/>
        <v>271.38131717005876</v>
      </c>
      <c r="F202" s="3">
        <f t="shared" si="14"/>
        <v>0.19451466264757755</v>
      </c>
    </row>
    <row r="203" spans="1:6" x14ac:dyDescent="0.25">
      <c r="A203" s="3">
        <f t="shared" si="15"/>
        <v>191</v>
      </c>
      <c r="B203" s="3">
        <f t="shared" si="16"/>
        <v>191</v>
      </c>
      <c r="C203" s="3">
        <f t="shared" si="17"/>
        <v>271.68655467692918</v>
      </c>
      <c r="D203" s="3">
        <f t="shared" si="12"/>
        <v>0.49143043500419964</v>
      </c>
      <c r="E203" s="3">
        <f t="shared" si="13"/>
        <v>271.87371942011544</v>
      </c>
      <c r="F203" s="3">
        <f t="shared" si="14"/>
        <v>0.18716474318625842</v>
      </c>
    </row>
    <row r="204" spans="1:6" x14ac:dyDescent="0.25">
      <c r="A204" s="3">
        <f t="shared" si="15"/>
        <v>192</v>
      </c>
      <c r="B204" s="3">
        <f t="shared" si="16"/>
        <v>192</v>
      </c>
      <c r="C204" s="3">
        <f t="shared" si="17"/>
        <v>272.17798511193337</v>
      </c>
      <c r="D204" s="3">
        <f t="shared" ref="D204:D267" si="18">$B$3*C204^(3/4)*(1-(C204/$B$4)^(1/4))</f>
        <v>0.48323485149503659</v>
      </c>
      <c r="E204" s="3">
        <f t="shared" ref="E204:E267" si="19">( $B$8 + ($B$9-$B$8)*EXP(-$B$3*B204/(4*$B$8)) )^4</f>
        <v>272.35797945372423</v>
      </c>
      <c r="F204" s="3">
        <f t="shared" ref="F204:F267" si="20">ABS(C204-E204)</f>
        <v>0.17999434179085938</v>
      </c>
    </row>
    <row r="205" spans="1:6" x14ac:dyDescent="0.25">
      <c r="A205" s="3">
        <f t="shared" ref="A205:A268" si="21">A204+1</f>
        <v>193</v>
      </c>
      <c r="B205" s="3">
        <f t="shared" ref="B205:B268" si="22">B204+$B$6</f>
        <v>193</v>
      </c>
      <c r="C205" s="3">
        <f t="shared" ref="C205:C268" si="23">C204+$B$6*D204</f>
        <v>272.66121996342838</v>
      </c>
      <c r="D205" s="3">
        <f t="shared" si="18"/>
        <v>0.47516396324601884</v>
      </c>
      <c r="E205" s="3">
        <f t="shared" si="19"/>
        <v>272.83422016957974</v>
      </c>
      <c r="F205" s="3">
        <f t="shared" si="20"/>
        <v>0.17300020615135736</v>
      </c>
    </row>
    <row r="206" spans="1:6" x14ac:dyDescent="0.25">
      <c r="A206" s="3">
        <f t="shared" si="21"/>
        <v>194</v>
      </c>
      <c r="B206" s="3">
        <f t="shared" si="22"/>
        <v>194</v>
      </c>
      <c r="C206" s="3">
        <f t="shared" si="23"/>
        <v>273.1363839266744</v>
      </c>
      <c r="D206" s="3">
        <f t="shared" si="18"/>
        <v>0.46721631327398855</v>
      </c>
      <c r="E206" s="3">
        <f t="shared" si="19"/>
        <v>273.30256303938319</v>
      </c>
      <c r="F206" s="3">
        <f t="shared" si="20"/>
        <v>0.16617911270878949</v>
      </c>
    </row>
    <row r="207" spans="1:6" x14ac:dyDescent="0.25">
      <c r="A207" s="3">
        <f t="shared" si="21"/>
        <v>195</v>
      </c>
      <c r="B207" s="3">
        <f t="shared" si="22"/>
        <v>195</v>
      </c>
      <c r="C207" s="3">
        <f t="shared" si="23"/>
        <v>273.60360023994838</v>
      </c>
      <c r="D207" s="3">
        <f t="shared" si="18"/>
        <v>0.45939044427026754</v>
      </c>
      <c r="E207" s="3">
        <f t="shared" si="19"/>
        <v>273.76312810766751</v>
      </c>
      <c r="F207" s="3">
        <f t="shared" si="20"/>
        <v>0.15952786771913452</v>
      </c>
    </row>
    <row r="208" spans="1:6" x14ac:dyDescent="0.25">
      <c r="A208" s="3">
        <f t="shared" si="21"/>
        <v>196</v>
      </c>
      <c r="B208" s="3">
        <f t="shared" si="22"/>
        <v>196</v>
      </c>
      <c r="C208" s="3">
        <f t="shared" si="23"/>
        <v>274.06299068421862</v>
      </c>
      <c r="D208" s="3">
        <f t="shared" si="18"/>
        <v>0.45168489947026397</v>
      </c>
      <c r="E208" s="3">
        <f t="shared" si="19"/>
        <v>274.2160339924493</v>
      </c>
      <c r="F208" s="3">
        <f t="shared" si="20"/>
        <v>0.15304330823067858</v>
      </c>
    </row>
    <row r="209" spans="1:6" x14ac:dyDescent="0.25">
      <c r="A209" s="3">
        <f t="shared" si="21"/>
        <v>197</v>
      </c>
      <c r="B209" s="3">
        <f t="shared" si="22"/>
        <v>197</v>
      </c>
      <c r="C209" s="3">
        <f t="shared" si="23"/>
        <v>274.51467558368887</v>
      </c>
      <c r="D209" s="3">
        <f t="shared" si="18"/>
        <v>0.44409822348096356</v>
      </c>
      <c r="E209" s="3">
        <f t="shared" si="19"/>
        <v>274.66139788667908</v>
      </c>
      <c r="F209" s="3">
        <f t="shared" si="20"/>
        <v>0.14672230299021294</v>
      </c>
    </row>
    <row r="210" spans="1:6" x14ac:dyDescent="0.25">
      <c r="A210" s="3">
        <f t="shared" si="21"/>
        <v>198</v>
      </c>
      <c r="B210" s="3">
        <f t="shared" si="22"/>
        <v>198</v>
      </c>
      <c r="C210" s="3">
        <f t="shared" si="23"/>
        <v>274.95877380716985</v>
      </c>
      <c r="D210" s="3">
        <f t="shared" si="18"/>
        <v>0.43662896306786103</v>
      </c>
      <c r="E210" s="3">
        <f t="shared" si="19"/>
        <v>275.09933556044092</v>
      </c>
      <c r="F210" s="3">
        <f t="shared" si="20"/>
        <v>0.14056175327107212</v>
      </c>
    </row>
    <row r="211" spans="1:6" x14ac:dyDescent="0.25">
      <c r="A211" s="3">
        <f t="shared" si="21"/>
        <v>199</v>
      </c>
      <c r="B211" s="3">
        <f t="shared" si="22"/>
        <v>199</v>
      </c>
      <c r="C211" s="3">
        <f t="shared" si="23"/>
        <v>275.39540277023769</v>
      </c>
      <c r="D211" s="3">
        <f t="shared" si="18"/>
        <v>0.42927566790270688</v>
      </c>
      <c r="E211" s="3">
        <f t="shared" si="19"/>
        <v>275.52996136387031</v>
      </c>
      <c r="F211" s="3">
        <f t="shared" si="20"/>
        <v>0.13455859363261879</v>
      </c>
    </row>
    <row r="212" spans="1:6" x14ac:dyDescent="0.25">
      <c r="A212" s="3">
        <f t="shared" si="21"/>
        <v>200</v>
      </c>
      <c r="B212" s="3">
        <f t="shared" si="22"/>
        <v>200</v>
      </c>
      <c r="C212" s="3">
        <f t="shared" si="23"/>
        <v>275.82467843814038</v>
      </c>
      <c r="D212" s="3">
        <f t="shared" si="18"/>
        <v>0.42203689127349425</v>
      </c>
      <c r="E212" s="3">
        <f t="shared" si="19"/>
        <v>275.953388230754</v>
      </c>
      <c r="F212" s="3">
        <f t="shared" si="20"/>
        <v>0.12870979261361981</v>
      </c>
    </row>
    <row r="213" spans="1:6" x14ac:dyDescent="0.25">
      <c r="A213" s="3">
        <f t="shared" si="21"/>
        <v>201</v>
      </c>
      <c r="B213" s="3">
        <f t="shared" si="22"/>
        <v>201</v>
      </c>
      <c r="C213" s="3">
        <f t="shared" si="23"/>
        <v>276.24671532941386</v>
      </c>
      <c r="D213" s="3">
        <f t="shared" si="18"/>
        <v>0.41491119075802302</v>
      </c>
      <c r="E213" s="3">
        <f t="shared" si="19"/>
        <v>276.3697276827711</v>
      </c>
      <c r="F213" s="3">
        <f t="shared" si="20"/>
        <v>0.12301235335723959</v>
      </c>
    </row>
    <row r="214" spans="1:6" x14ac:dyDescent="0.25">
      <c r="A214" s="3">
        <f t="shared" si="21"/>
        <v>202</v>
      </c>
      <c r="B214" s="3">
        <f t="shared" si="22"/>
        <v>202</v>
      </c>
      <c r="C214" s="3">
        <f t="shared" si="23"/>
        <v>276.66162652017186</v>
      </c>
      <c r="D214" s="3">
        <f t="shared" si="18"/>
        <v>0.4078971288623493</v>
      </c>
      <c r="E214" s="3">
        <f t="shared" si="19"/>
        <v>276.77908983435015</v>
      </c>
      <c r="F214" s="3">
        <f t="shared" si="20"/>
        <v>0.1174633141782806</v>
      </c>
    </row>
    <row r="215" spans="1:6" x14ac:dyDescent="0.25">
      <c r="A215" s="3">
        <f t="shared" si="21"/>
        <v>203</v>
      </c>
      <c r="B215" s="3">
        <f t="shared" si="22"/>
        <v>203</v>
      </c>
      <c r="C215" s="3">
        <f t="shared" si="23"/>
        <v>277.06952364903424</v>
      </c>
      <c r="D215" s="3">
        <f t="shared" si="18"/>
        <v>0.4009932736254147</v>
      </c>
      <c r="E215" s="3">
        <f t="shared" si="19"/>
        <v>277.18158339810458</v>
      </c>
      <c r="F215" s="3">
        <f t="shared" si="20"/>
        <v>0.11205974907034033</v>
      </c>
    </row>
    <row r="216" spans="1:6" x14ac:dyDescent="0.25">
      <c r="A216" s="3">
        <f t="shared" si="21"/>
        <v>204</v>
      </c>
      <c r="B216" s="3">
        <f t="shared" si="22"/>
        <v>204</v>
      </c>
      <c r="C216" s="3">
        <f t="shared" si="23"/>
        <v>277.47051692265967</v>
      </c>
      <c r="D216" s="3">
        <f t="shared" si="18"/>
        <v>0.39419819919108612</v>
      </c>
      <c r="E216" s="3">
        <f t="shared" si="19"/>
        <v>277.57731569081568</v>
      </c>
      <c r="F216" s="3">
        <f t="shared" si="20"/>
        <v>0.10679876815601119</v>
      </c>
    </row>
    <row r="217" spans="1:6" x14ac:dyDescent="0.25">
      <c r="A217" s="3">
        <f t="shared" si="21"/>
        <v>205</v>
      </c>
      <c r="B217" s="3">
        <f t="shared" si="22"/>
        <v>205</v>
      </c>
      <c r="C217" s="3">
        <f t="shared" si="23"/>
        <v>277.86471512185074</v>
      </c>
      <c r="D217" s="3">
        <f t="shared" si="18"/>
        <v>0.38751048634879215</v>
      </c>
      <c r="E217" s="3">
        <f t="shared" si="19"/>
        <v>277.96639263993609</v>
      </c>
      <c r="F217" s="3">
        <f t="shared" si="20"/>
        <v>0.10167751808535286</v>
      </c>
    </row>
    <row r="218" spans="1:6" x14ac:dyDescent="0.25">
      <c r="A218" s="3">
        <f t="shared" si="21"/>
        <v>206</v>
      </c>
      <c r="B218" s="3">
        <f t="shared" si="22"/>
        <v>206</v>
      </c>
      <c r="C218" s="3">
        <f t="shared" si="23"/>
        <v>278.25222560819952</v>
      </c>
      <c r="D218" s="3">
        <f t="shared" si="18"/>
        <v>0.38092872304395947</v>
      </c>
      <c r="E218" s="3">
        <f t="shared" si="19"/>
        <v>278.34891879058125</v>
      </c>
      <c r="F218" s="3">
        <f t="shared" si="20"/>
        <v>9.6693182381727638E-2</v>
      </c>
    </row>
    <row r="219" spans="1:6" x14ac:dyDescent="0.25">
      <c r="A219" s="3">
        <f t="shared" si="21"/>
        <v>207</v>
      </c>
      <c r="B219" s="3">
        <f t="shared" si="22"/>
        <v>207</v>
      </c>
      <c r="C219" s="3">
        <f t="shared" si="23"/>
        <v>278.63315433124347</v>
      </c>
      <c r="D219" s="3">
        <f t="shared" si="18"/>
        <v>0.37445150485935669</v>
      </c>
      <c r="E219" s="3">
        <f t="shared" si="19"/>
        <v>278.72499731298473</v>
      </c>
      <c r="F219" s="3">
        <f t="shared" si="20"/>
        <v>9.1842981741251606E-2</v>
      </c>
    </row>
    <row r="220" spans="1:6" x14ac:dyDescent="0.25">
      <c r="A220" s="3">
        <f t="shared" si="21"/>
        <v>208</v>
      </c>
      <c r="B220" s="3">
        <f t="shared" si="22"/>
        <v>208</v>
      </c>
      <c r="C220" s="3">
        <f t="shared" si="23"/>
        <v>279.00760583610281</v>
      </c>
      <c r="D220" s="3">
        <f t="shared" si="18"/>
        <v>0.36807743546842642</v>
      </c>
      <c r="E220" s="3">
        <f t="shared" si="19"/>
        <v>279.09473001038577</v>
      </c>
      <c r="F220" s="3">
        <f t="shared" si="20"/>
        <v>8.7124174282962485E-2</v>
      </c>
    </row>
    <row r="221" spans="1:6" x14ac:dyDescent="0.25">
      <c r="A221" s="3">
        <f t="shared" si="21"/>
        <v>209</v>
      </c>
      <c r="B221" s="3">
        <f t="shared" si="22"/>
        <v>209</v>
      </c>
      <c r="C221" s="3">
        <f t="shared" si="23"/>
        <v>279.37568327157123</v>
      </c>
      <c r="D221" s="3">
        <f t="shared" si="18"/>
        <v>0.36180512706174034</v>
      </c>
      <c r="E221" s="3">
        <f t="shared" si="19"/>
        <v>279.45821732733015</v>
      </c>
      <c r="F221" s="3">
        <f t="shared" si="20"/>
        <v>8.2534055758912928E-2</v>
      </c>
    </row>
    <row r="222" spans="1:6" x14ac:dyDescent="0.25">
      <c r="A222" s="3">
        <f t="shared" si="21"/>
        <v>210</v>
      </c>
      <c r="B222" s="3">
        <f t="shared" si="22"/>
        <v>210</v>
      </c>
      <c r="C222" s="3">
        <f t="shared" si="23"/>
        <v>279.73748839863299</v>
      </c>
      <c r="D222" s="3">
        <f t="shared" si="18"/>
        <v>0.35563320074751531</v>
      </c>
      <c r="E222" s="3">
        <f t="shared" si="19"/>
        <v>279.81555835835269</v>
      </c>
      <c r="F222" s="3">
        <f t="shared" si="20"/>
        <v>7.8069959719698545E-2</v>
      </c>
    </row>
    <row r="223" spans="1:6" x14ac:dyDescent="0.25">
      <c r="A223" s="3">
        <f t="shared" si="21"/>
        <v>211</v>
      </c>
      <c r="B223" s="3">
        <f t="shared" si="22"/>
        <v>211</v>
      </c>
      <c r="C223" s="3">
        <f t="shared" si="23"/>
        <v>280.09312159938048</v>
      </c>
      <c r="D223" s="3">
        <f t="shared" si="18"/>
        <v>0.34956028692727897</v>
      </c>
      <c r="E223" s="3">
        <f t="shared" si="19"/>
        <v>280.1668508570221</v>
      </c>
      <c r="F223" s="3">
        <f t="shared" si="20"/>
        <v>7.3729257641616641E-2</v>
      </c>
    </row>
    <row r="224" spans="1:6" x14ac:dyDescent="0.25">
      <c r="A224" s="3">
        <f t="shared" si="21"/>
        <v>212</v>
      </c>
      <c r="B224" s="3">
        <f t="shared" si="22"/>
        <v>212</v>
      </c>
      <c r="C224" s="3">
        <f t="shared" si="23"/>
        <v>280.44268188630775</v>
      </c>
      <c r="D224" s="3">
        <f t="shared" si="18"/>
        <v>0.34358502564758509</v>
      </c>
      <c r="E224" s="3">
        <f t="shared" si="19"/>
        <v>280.51219124532378</v>
      </c>
      <c r="F224" s="3">
        <f t="shared" si="20"/>
        <v>6.9509359016024064E-2</v>
      </c>
    </row>
    <row r="225" spans="1:6" x14ac:dyDescent="0.25">
      <c r="A225" s="3">
        <f t="shared" si="21"/>
        <v>213</v>
      </c>
      <c r="B225" s="3">
        <f t="shared" si="22"/>
        <v>213</v>
      </c>
      <c r="C225" s="3">
        <f t="shared" si="23"/>
        <v>280.78626691195535</v>
      </c>
      <c r="D225" s="3">
        <f t="shared" si="18"/>
        <v>0.33770606692877103</v>
      </c>
      <c r="E225" s="3">
        <f t="shared" si="19"/>
        <v>280.85167462335795</v>
      </c>
      <c r="F225" s="3">
        <f t="shared" si="20"/>
        <v>6.5407711402599489E-2</v>
      </c>
    </row>
    <row r="226" spans="1:6" x14ac:dyDescent="0.25">
      <c r="A226" s="3">
        <f t="shared" si="21"/>
        <v>214</v>
      </c>
      <c r="B226" s="3">
        <f t="shared" si="22"/>
        <v>214</v>
      </c>
      <c r="C226" s="3">
        <f t="shared" si="23"/>
        <v>281.12397297888413</v>
      </c>
      <c r="D226" s="3">
        <f t="shared" si="18"/>
        <v>0.33192207107163718</v>
      </c>
      <c r="E226" s="3">
        <f t="shared" si="19"/>
        <v>281.18539477933393</v>
      </c>
      <c r="F226" s="3">
        <f t="shared" si="20"/>
        <v>6.1421800449807051E-2</v>
      </c>
    </row>
    <row r="227" spans="1:6" x14ac:dyDescent="0.25">
      <c r="A227" s="3">
        <f t="shared" si="21"/>
        <v>215</v>
      </c>
      <c r="B227" s="3">
        <f t="shared" si="22"/>
        <v>215</v>
      </c>
      <c r="C227" s="3">
        <f t="shared" si="23"/>
        <v>281.45589504995576</v>
      </c>
      <c r="D227" s="3">
        <f t="shared" si="18"/>
        <v>0.32623170894292536</v>
      </c>
      <c r="E227" s="3">
        <f t="shared" si="19"/>
        <v>281.51344419983934</v>
      </c>
      <c r="F227" s="3">
        <f t="shared" si="20"/>
        <v>5.7549149883584505E-2</v>
      </c>
    </row>
    <row r="228" spans="1:6" x14ac:dyDescent="0.25">
      <c r="A228" s="3">
        <f t="shared" si="21"/>
        <v>216</v>
      </c>
      <c r="B228" s="3">
        <f t="shared" si="22"/>
        <v>216</v>
      </c>
      <c r="C228" s="3">
        <f t="shared" si="23"/>
        <v>281.7821267588987</v>
      </c>
      <c r="D228" s="3">
        <f t="shared" si="18"/>
        <v>0.32063366224048084</v>
      </c>
      <c r="E228" s="3">
        <f t="shared" si="19"/>
        <v>281.83591408036153</v>
      </c>
      <c r="F228" s="3">
        <f t="shared" si="20"/>
        <v>5.3787321462834825E-2</v>
      </c>
    </row>
    <row r="229" spans="1:6" x14ac:dyDescent="0.25">
      <c r="A229" s="3">
        <f t="shared" si="21"/>
        <v>217</v>
      </c>
      <c r="B229" s="3">
        <f t="shared" si="22"/>
        <v>217</v>
      </c>
      <c r="C229" s="3">
        <f t="shared" si="23"/>
        <v>282.10276042113918</v>
      </c>
      <c r="D229" s="3">
        <f t="shared" si="18"/>
        <v>0.31512662373888284</v>
      </c>
      <c r="E229" s="3">
        <f t="shared" si="19"/>
        <v>282.15289433605039</v>
      </c>
      <c r="F229" s="3">
        <f t="shared" si="20"/>
        <v>5.0133914911214106E-2</v>
      </c>
    </row>
    <row r="230" spans="1:6" x14ac:dyDescent="0.25">
      <c r="A230" s="3">
        <f t="shared" si="21"/>
        <v>218</v>
      </c>
      <c r="B230" s="3">
        <f t="shared" si="22"/>
        <v>218</v>
      </c>
      <c r="C230" s="3">
        <f t="shared" si="23"/>
        <v>282.41788704487806</v>
      </c>
      <c r="D230" s="3">
        <f t="shared" si="18"/>
        <v>0.30970929751636617</v>
      </c>
      <c r="E230" s="3">
        <f t="shared" si="19"/>
        <v>282.46447361269611</v>
      </c>
      <c r="F230" s="3">
        <f t="shared" si="20"/>
        <v>4.6586567818053481E-2</v>
      </c>
    </row>
    <row r="231" spans="1:6" x14ac:dyDescent="0.25">
      <c r="A231" s="3">
        <f t="shared" si="21"/>
        <v>219</v>
      </c>
      <c r="B231" s="3">
        <f t="shared" si="22"/>
        <v>219</v>
      </c>
      <c r="C231" s="3">
        <f t="shared" si="23"/>
        <v>282.72759634239441</v>
      </c>
      <c r="D231" s="3">
        <f t="shared" si="18"/>
        <v>0.30438039916381116</v>
      </c>
      <c r="E231" s="3">
        <f t="shared" si="19"/>
        <v>282.77073929790993</v>
      </c>
      <c r="F231" s="3">
        <f t="shared" si="20"/>
        <v>4.3142955515520498E-2</v>
      </c>
    </row>
    <row r="232" spans="1:6" x14ac:dyDescent="0.25">
      <c r="A232" s="3">
        <f t="shared" si="21"/>
        <v>220</v>
      </c>
      <c r="B232" s="3">
        <f t="shared" si="22"/>
        <v>220</v>
      </c>
      <c r="C232" s="3">
        <f t="shared" si="23"/>
        <v>283.0319767415582</v>
      </c>
      <c r="D232" s="3">
        <f t="shared" si="18"/>
        <v>0.29913865597650613</v>
      </c>
      <c r="E232" s="3">
        <f t="shared" si="19"/>
        <v>283.07177753248936</v>
      </c>
      <c r="F232" s="3">
        <f t="shared" si="20"/>
        <v>3.9800790931167285E-2</v>
      </c>
    </row>
    <row r="233" spans="1:6" x14ac:dyDescent="0.25">
      <c r="A233" s="3">
        <f t="shared" si="21"/>
        <v>221</v>
      </c>
      <c r="B233" s="3">
        <f t="shared" si="22"/>
        <v>221</v>
      </c>
      <c r="C233" s="3">
        <f t="shared" si="23"/>
        <v>283.33111539753469</v>
      </c>
      <c r="D233" s="3">
        <f t="shared" si="18"/>
        <v>0.29398280712947633</v>
      </c>
      <c r="E233" s="3">
        <f t="shared" si="19"/>
        <v>283.36767322195396</v>
      </c>
      <c r="F233" s="3">
        <f t="shared" si="20"/>
        <v>3.655782441927613E-2</v>
      </c>
    </row>
    <row r="234" spans="1:6" x14ac:dyDescent="0.25">
      <c r="A234" s="3">
        <f t="shared" si="21"/>
        <v>222</v>
      </c>
      <c r="B234" s="3">
        <f t="shared" si="22"/>
        <v>222</v>
      </c>
      <c r="C234" s="3">
        <f t="shared" si="23"/>
        <v>283.62509820466414</v>
      </c>
      <c r="D234" s="3">
        <f t="shared" si="18"/>
        <v>0.28891160383699588</v>
      </c>
      <c r="E234" s="3">
        <f t="shared" si="19"/>
        <v>283.65851004823298</v>
      </c>
      <c r="F234" s="3">
        <f t="shared" si="20"/>
        <v>3.3411843568842414E-2</v>
      </c>
    </row>
    <row r="235" spans="1:6" x14ac:dyDescent="0.25">
      <c r="A235" s="3">
        <f t="shared" si="21"/>
        <v>223</v>
      </c>
      <c r="B235" s="3">
        <f t="shared" si="22"/>
        <v>223</v>
      </c>
      <c r="C235" s="3">
        <f t="shared" si="23"/>
        <v>283.91400980850113</v>
      </c>
      <c r="D235" s="3">
        <f t="shared" si="18"/>
        <v>0.28392380949701695</v>
      </c>
      <c r="E235" s="3">
        <f t="shared" si="19"/>
        <v>283.94437048149496</v>
      </c>
      <c r="F235" s="3">
        <f t="shared" si="20"/>
        <v>3.0360672993822391E-2</v>
      </c>
    </row>
    <row r="236" spans="1:6" x14ac:dyDescent="0.25">
      <c r="A236" s="3">
        <f t="shared" si="21"/>
        <v>224</v>
      </c>
      <c r="B236" s="3">
        <f t="shared" si="22"/>
        <v>224</v>
      </c>
      <c r="C236" s="3">
        <f t="shared" si="23"/>
        <v>284.19793361799816</v>
      </c>
      <c r="D236" s="3">
        <f t="shared" si="18"/>
        <v>0.2790181998211399</v>
      </c>
      <c r="E236" s="3">
        <f t="shared" si="19"/>
        <v>284.22533579210238</v>
      </c>
      <c r="F236" s="3">
        <f t="shared" si="20"/>
        <v>2.7402174104224741E-2</v>
      </c>
    </row>
    <row r="237" spans="1:6" x14ac:dyDescent="0.25">
      <c r="A237" s="3">
        <f t="shared" si="21"/>
        <v>225</v>
      </c>
      <c r="B237" s="3">
        <f t="shared" si="22"/>
        <v>225</v>
      </c>
      <c r="C237" s="3">
        <f t="shared" si="23"/>
        <v>284.47695181781933</v>
      </c>
      <c r="D237" s="3">
        <f t="shared" si="18"/>
        <v>0.27419356295075997</v>
      </c>
      <c r="E237" s="3">
        <f t="shared" si="19"/>
        <v>284.50148606267777</v>
      </c>
      <c r="F237" s="3">
        <f t="shared" si="20"/>
        <v>2.4534244858443799E-2</v>
      </c>
    </row>
    <row r="238" spans="1:6" x14ac:dyDescent="0.25">
      <c r="A238" s="3">
        <f t="shared" si="21"/>
        <v>226</v>
      </c>
      <c r="B238" s="3">
        <f t="shared" si="22"/>
        <v>226</v>
      </c>
      <c r="C238" s="3">
        <f t="shared" si="23"/>
        <v>284.75114538077008</v>
      </c>
      <c r="D238" s="3">
        <f t="shared" si="18"/>
        <v>0.26944869955998785</v>
      </c>
      <c r="E238" s="3">
        <f t="shared" si="19"/>
        <v>284.77290020027101</v>
      </c>
      <c r="F238" s="3">
        <f t="shared" si="20"/>
        <v>2.1754819500927169E-2</v>
      </c>
    </row>
    <row r="239" spans="1:6" x14ac:dyDescent="0.25">
      <c r="A239" s="3">
        <f t="shared" si="21"/>
        <v>227</v>
      </c>
      <c r="B239" s="3">
        <f t="shared" si="22"/>
        <v>227</v>
      </c>
      <c r="C239" s="3">
        <f t="shared" si="23"/>
        <v>285.02059408033006</v>
      </c>
      <c r="D239" s="3">
        <f t="shared" si="18"/>
        <v>0.26478242294594628</v>
      </c>
      <c r="E239" s="3">
        <f t="shared" si="19"/>
        <v>285.03965594861472</v>
      </c>
      <c r="F239" s="3">
        <f t="shared" si="20"/>
        <v>1.9061868284666161E-2</v>
      </c>
    </row>
    <row r="240" spans="1:6" x14ac:dyDescent="0.25">
      <c r="A240" s="3">
        <f t="shared" si="21"/>
        <v>228</v>
      </c>
      <c r="B240" s="3">
        <f t="shared" si="22"/>
        <v>228</v>
      </c>
      <c r="C240" s="3">
        <f t="shared" si="23"/>
        <v>285.28537650327598</v>
      </c>
      <c r="D240" s="3">
        <f t="shared" si="18"/>
        <v>0.26019355910699898</v>
      </c>
      <c r="E240" s="3">
        <f t="shared" si="19"/>
        <v>285.30182990045427</v>
      </c>
      <c r="F240" s="3">
        <f t="shared" si="20"/>
        <v>1.6453397178281648E-2</v>
      </c>
    </row>
    <row r="241" spans="1:6" x14ac:dyDescent="0.25">
      <c r="A241" s="3">
        <f t="shared" si="21"/>
        <v>229</v>
      </c>
      <c r="B241" s="3">
        <f t="shared" si="22"/>
        <v>229</v>
      </c>
      <c r="C241" s="3">
        <f t="shared" si="23"/>
        <v>285.54557006238298</v>
      </c>
      <c r="D241" s="3">
        <f t="shared" si="18"/>
        <v>0.25568094680946074</v>
      </c>
      <c r="E241" s="3">
        <f t="shared" si="19"/>
        <v>285.55949750994387</v>
      </c>
      <c r="F241" s="3">
        <f t="shared" si="20"/>
        <v>1.3927447560888595E-2</v>
      </c>
    </row>
    <row r="242" spans="1:6" x14ac:dyDescent="0.25">
      <c r="A242" s="3">
        <f t="shared" si="21"/>
        <v>230</v>
      </c>
      <c r="B242" s="3">
        <f t="shared" si="22"/>
        <v>230</v>
      </c>
      <c r="C242" s="3">
        <f t="shared" si="23"/>
        <v>285.80125100919241</v>
      </c>
      <c r="D242" s="3">
        <f t="shared" si="18"/>
        <v>0.25124343764329748</v>
      </c>
      <c r="E242" s="3">
        <f t="shared" si="19"/>
        <v>285.81273310509789</v>
      </c>
      <c r="F242" s="3">
        <f t="shared" si="20"/>
        <v>1.1482095905478218E-2</v>
      </c>
    </row>
    <row r="243" spans="1:6" x14ac:dyDescent="0.25">
      <c r="A243" s="3">
        <f t="shared" si="21"/>
        <v>231</v>
      </c>
      <c r="B243" s="3">
        <f t="shared" si="22"/>
        <v>231</v>
      </c>
      <c r="C243" s="3">
        <f t="shared" si="23"/>
        <v>286.05249444683574</v>
      </c>
      <c r="D243" s="3">
        <f t="shared" si="18"/>
        <v>0.24687989606736621</v>
      </c>
      <c r="E243" s="3">
        <f t="shared" si="19"/>
        <v>286.06160990028548</v>
      </c>
      <c r="F243" s="3">
        <f t="shared" si="20"/>
        <v>9.1154534497377426E-3</v>
      </c>
    </row>
    <row r="244" spans="1:6" x14ac:dyDescent="0.25">
      <c r="A244" s="3">
        <f t="shared" si="21"/>
        <v>232</v>
      </c>
      <c r="B244" s="3">
        <f t="shared" si="22"/>
        <v>232</v>
      </c>
      <c r="C244" s="3">
        <f t="shared" si="23"/>
        <v>286.29937434290309</v>
      </c>
      <c r="D244" s="3">
        <f t="shared" si="18"/>
        <v>0.24258919944463786</v>
      </c>
      <c r="E244" s="3">
        <f t="shared" si="19"/>
        <v>286.30620000876047</v>
      </c>
      <c r="F244" s="3">
        <f t="shared" si="20"/>
        <v>6.8256658573773166E-3</v>
      </c>
    </row>
    <row r="245" spans="1:6" x14ac:dyDescent="0.25">
      <c r="A245" s="3">
        <f t="shared" si="21"/>
        <v>233</v>
      </c>
      <c r="B245" s="3">
        <f t="shared" si="22"/>
        <v>233</v>
      </c>
      <c r="C245" s="3">
        <f t="shared" si="23"/>
        <v>286.54196354234773</v>
      </c>
      <c r="D245" s="3">
        <f t="shared" si="18"/>
        <v>0.23837023806790131</v>
      </c>
      <c r="E245" s="3">
        <f t="shared" si="19"/>
        <v>286.54657445521735</v>
      </c>
      <c r="F245" s="3">
        <f t="shared" si="20"/>
        <v>4.6109128696230073E-3</v>
      </c>
    </row>
    <row r="246" spans="1:6" x14ac:dyDescent="0.25">
      <c r="A246" s="3">
        <f t="shared" si="21"/>
        <v>234</v>
      </c>
      <c r="B246" s="3">
        <f t="shared" si="22"/>
        <v>234</v>
      </c>
      <c r="C246" s="3">
        <f t="shared" si="23"/>
        <v>286.78033378041562</v>
      </c>
      <c r="D246" s="3">
        <f t="shared" si="18"/>
        <v>0.23422191517640029</v>
      </c>
      <c r="E246" s="3">
        <f t="shared" si="19"/>
        <v>286.78280318836426</v>
      </c>
      <c r="F246" s="3">
        <f t="shared" si="20"/>
        <v>2.469407948638036E-3</v>
      </c>
    </row>
    <row r="247" spans="1:6" x14ac:dyDescent="0.25">
      <c r="A247" s="3">
        <f t="shared" si="21"/>
        <v>235</v>
      </c>
      <c r="B247" s="3">
        <f t="shared" si="22"/>
        <v>235</v>
      </c>
      <c r="C247" s="3">
        <f t="shared" si="23"/>
        <v>287.01455569559204</v>
      </c>
      <c r="D247" s="3">
        <f t="shared" si="18"/>
        <v>0.23014314696383736</v>
      </c>
      <c r="E247" s="3">
        <f t="shared" si="19"/>
        <v>287.01495509350417</v>
      </c>
      <c r="F247" s="3">
        <f t="shared" si="20"/>
        <v>3.9939791213328135E-4</v>
      </c>
    </row>
    <row r="248" spans="1:6" x14ac:dyDescent="0.25">
      <c r="A248" s="3">
        <f t="shared" si="21"/>
        <v>236</v>
      </c>
      <c r="B248" s="3">
        <f t="shared" si="22"/>
        <v>236</v>
      </c>
      <c r="C248" s="3">
        <f t="shared" si="23"/>
        <v>287.24469884255586</v>
      </c>
      <c r="D248" s="3">
        <f t="shared" si="18"/>
        <v>0.22613286257816434</v>
      </c>
      <c r="E248" s="3">
        <f t="shared" si="19"/>
        <v>287.24309800511753</v>
      </c>
      <c r="F248" s="3">
        <f t="shared" si="20"/>
        <v>1.6008374383318369E-3</v>
      </c>
    </row>
    <row r="249" spans="1:6" x14ac:dyDescent="0.25">
      <c r="A249" s="3">
        <f t="shared" si="21"/>
        <v>237</v>
      </c>
      <c r="B249" s="3">
        <f t="shared" si="22"/>
        <v>237</v>
      </c>
      <c r="C249" s="3">
        <f t="shared" si="23"/>
        <v>287.470831705134</v>
      </c>
      <c r="D249" s="3">
        <f t="shared" si="18"/>
        <v>0.22219000411358297</v>
      </c>
      <c r="E249" s="3">
        <f t="shared" si="19"/>
        <v>287.46729871943791</v>
      </c>
      <c r="F249" s="3">
        <f t="shared" si="20"/>
        <v>3.5329856960970574E-3</v>
      </c>
    </row>
    <row r="250" spans="1:6" x14ac:dyDescent="0.25">
      <c r="A250" s="3">
        <f t="shared" si="21"/>
        <v>238</v>
      </c>
      <c r="B250" s="3">
        <f t="shared" si="22"/>
        <v>238</v>
      </c>
      <c r="C250" s="3">
        <f t="shared" si="23"/>
        <v>287.6930217092476</v>
      </c>
      <c r="D250" s="3">
        <f t="shared" si="18"/>
        <v>0.21831352659512787</v>
      </c>
      <c r="E250" s="3">
        <f t="shared" si="19"/>
        <v>287.68762300701343</v>
      </c>
      <c r="F250" s="3">
        <f t="shared" si="20"/>
        <v>5.3987022341743796E-3</v>
      </c>
    </row>
    <row r="251" spans="1:6" x14ac:dyDescent="0.25">
      <c r="A251" s="3">
        <f t="shared" si="21"/>
        <v>239</v>
      </c>
      <c r="B251" s="3">
        <f t="shared" si="22"/>
        <v>239</v>
      </c>
      <c r="C251" s="3">
        <f t="shared" si="23"/>
        <v>287.91133523584273</v>
      </c>
      <c r="D251" s="3">
        <f t="shared" si="18"/>
        <v>0.21450239795621021</v>
      </c>
      <c r="E251" s="3">
        <f t="shared" si="19"/>
        <v>287.90413562524884</v>
      </c>
      <c r="F251" s="3">
        <f t="shared" si="20"/>
        <v>7.1996105938865185E-3</v>
      </c>
    </row>
    <row r="252" spans="1:6" x14ac:dyDescent="0.25">
      <c r="A252" s="3">
        <f t="shared" si="21"/>
        <v>240</v>
      </c>
      <c r="B252" s="3">
        <f t="shared" si="22"/>
        <v>240</v>
      </c>
      <c r="C252" s="3">
        <f t="shared" si="23"/>
        <v>288.12583763379894</v>
      </c>
      <c r="D252" s="3">
        <f t="shared" si="18"/>
        <v>0.21075559900950763</v>
      </c>
      <c r="E252" s="3">
        <f t="shared" si="19"/>
        <v>288.11690033091929</v>
      </c>
      <c r="F252" s="3">
        <f t="shared" si="20"/>
        <v>8.9373028796444487E-3</v>
      </c>
    </row>
    <row r="253" spans="1:6" x14ac:dyDescent="0.25">
      <c r="A253" s="3">
        <f t="shared" si="21"/>
        <v>241</v>
      </c>
      <c r="B253" s="3">
        <f t="shared" si="22"/>
        <v>241</v>
      </c>
      <c r="C253" s="3">
        <f t="shared" si="23"/>
        <v>288.33659323280847</v>
      </c>
      <c r="D253" s="3">
        <f t="shared" si="18"/>
        <v>0.2070721234115209</v>
      </c>
      <c r="E253" s="3">
        <f t="shared" si="19"/>
        <v>288.32597989265099</v>
      </c>
      <c r="F253" s="3">
        <f t="shared" si="20"/>
        <v>1.0613340157476614E-2</v>
      </c>
    </row>
    <row r="254" spans="1:6" x14ac:dyDescent="0.25">
      <c r="A254" s="3">
        <f t="shared" si="21"/>
        <v>242</v>
      </c>
      <c r="B254" s="3">
        <f t="shared" si="22"/>
        <v>242</v>
      </c>
      <c r="C254" s="3">
        <f t="shared" si="23"/>
        <v>288.54366535622</v>
      </c>
      <c r="D254" s="3">
        <f t="shared" si="18"/>
        <v>0.20345097762115585</v>
      </c>
      <c r="E254" s="3">
        <f t="shared" si="19"/>
        <v>288.53143610336434</v>
      </c>
      <c r="F254" s="3">
        <f t="shared" si="20"/>
        <v>1.2229252855661343E-2</v>
      </c>
    </row>
    <row r="255" spans="1:6" x14ac:dyDescent="0.25">
      <c r="A255" s="3">
        <f t="shared" si="21"/>
        <v>243</v>
      </c>
      <c r="B255" s="3">
        <f t="shared" si="22"/>
        <v>243</v>
      </c>
      <c r="C255" s="3">
        <f t="shared" si="23"/>
        <v>288.74711633384118</v>
      </c>
      <c r="D255" s="3">
        <f t="shared" si="18"/>
        <v>0.1998911808526348</v>
      </c>
      <c r="E255" s="3">
        <f t="shared" si="19"/>
        <v>288.73332979267138</v>
      </c>
      <c r="F255" s="3">
        <f t="shared" si="20"/>
        <v>1.3786541169793054E-2</v>
      </c>
    </row>
    <row r="256" spans="1:6" x14ac:dyDescent="0.25">
      <c r="A256" s="3">
        <f t="shared" si="21"/>
        <v>244</v>
      </c>
      <c r="B256" s="3">
        <f t="shared" si="22"/>
        <v>244</v>
      </c>
      <c r="C256" s="3">
        <f t="shared" si="23"/>
        <v>288.94700751469384</v>
      </c>
      <c r="D256" s="3">
        <f t="shared" si="18"/>
        <v>0.19639176502306541</v>
      </c>
      <c r="E256" s="3">
        <f t="shared" si="19"/>
        <v>288.93172083922445</v>
      </c>
      <c r="F256" s="3">
        <f t="shared" si="20"/>
        <v>1.5286675469383226E-2</v>
      </c>
    </row>
    <row r="257" spans="1:6" x14ac:dyDescent="0.25">
      <c r="A257" s="3">
        <f t="shared" si="21"/>
        <v>245</v>
      </c>
      <c r="B257" s="3">
        <f t="shared" si="22"/>
        <v>245</v>
      </c>
      <c r="C257" s="3">
        <f t="shared" si="23"/>
        <v>289.1433992797169</v>
      </c>
      <c r="D257" s="3">
        <f t="shared" si="18"/>
        <v>0.19295177469496239</v>
      </c>
      <c r="E257" s="3">
        <f t="shared" si="19"/>
        <v>289.12666818300892</v>
      </c>
      <c r="F257" s="3">
        <f t="shared" si="20"/>
        <v>1.6731096707985671E-2</v>
      </c>
    </row>
    <row r="258" spans="1:6" x14ac:dyDescent="0.25">
      <c r="A258" s="3">
        <f t="shared" si="21"/>
        <v>246</v>
      </c>
      <c r="B258" s="3">
        <f t="shared" si="22"/>
        <v>246</v>
      </c>
      <c r="C258" s="3">
        <f t="shared" si="23"/>
        <v>289.33635105441186</v>
      </c>
      <c r="D258" s="3">
        <f t="shared" si="18"/>
        <v>0.18957026701399371</v>
      </c>
      <c r="E258" s="3">
        <f t="shared" si="19"/>
        <v>289.3182298375803</v>
      </c>
      <c r="F258" s="3">
        <f t="shared" si="20"/>
        <v>1.812121683155965E-2</v>
      </c>
    </row>
    <row r="259" spans="1:6" x14ac:dyDescent="0.25">
      <c r="A259" s="3">
        <f t="shared" si="21"/>
        <v>247</v>
      </c>
      <c r="B259" s="3">
        <f t="shared" si="22"/>
        <v>247</v>
      </c>
      <c r="C259" s="3">
        <f t="shared" si="23"/>
        <v>289.52592132142587</v>
      </c>
      <c r="D259" s="3">
        <f t="shared" si="18"/>
        <v>0.18624631164224453</v>
      </c>
      <c r="E259" s="3">
        <f t="shared" si="19"/>
        <v>289.50646290223318</v>
      </c>
      <c r="F259" s="3">
        <f t="shared" si="20"/>
        <v>1.945841919268787E-2</v>
      </c>
    </row>
    <row r="260" spans="1:6" x14ac:dyDescent="0.25">
      <c r="A260" s="3">
        <f t="shared" si="21"/>
        <v>248</v>
      </c>
      <c r="B260" s="3">
        <f t="shared" si="22"/>
        <v>248</v>
      </c>
      <c r="C260" s="3">
        <f t="shared" si="23"/>
        <v>289.71216763306813</v>
      </c>
      <c r="D260" s="3">
        <f t="shared" si="18"/>
        <v>0.18297899068726806</v>
      </c>
      <c r="E260" s="3">
        <f t="shared" si="19"/>
        <v>289.69142357410783</v>
      </c>
      <c r="F260" s="3">
        <f t="shared" si="20"/>
        <v>2.0744058960303846E-2</v>
      </c>
    </row>
    <row r="261" spans="1:6" x14ac:dyDescent="0.25">
      <c r="A261" s="3">
        <f t="shared" si="21"/>
        <v>249</v>
      </c>
      <c r="B261" s="3">
        <f t="shared" si="22"/>
        <v>249</v>
      </c>
      <c r="C261" s="3">
        <f t="shared" si="23"/>
        <v>289.89514662375541</v>
      </c>
      <c r="D261" s="3">
        <f t="shared" si="18"/>
        <v>0.17976739862715541</v>
      </c>
      <c r="E261" s="3">
        <f t="shared" si="19"/>
        <v>289.87316716022139</v>
      </c>
      <c r="F261" s="3">
        <f t="shared" si="20"/>
        <v>2.197946353402358E-2</v>
      </c>
    </row>
    <row r="262" spans="1:6" x14ac:dyDescent="0.25">
      <c r="A262" s="3">
        <f t="shared" si="21"/>
        <v>250</v>
      </c>
      <c r="B262" s="3">
        <f t="shared" si="22"/>
        <v>250</v>
      </c>
      <c r="C262" s="3">
        <f t="shared" si="23"/>
        <v>290.07491402238259</v>
      </c>
      <c r="D262" s="3">
        <f t="shared" si="18"/>
        <v>0.17661064223187836</v>
      </c>
      <c r="E262" s="3">
        <f t="shared" si="19"/>
        <v>290.05174808942598</v>
      </c>
      <c r="F262" s="3">
        <f t="shared" si="20"/>
        <v>2.3165932956601409E-2</v>
      </c>
    </row>
    <row r="263" spans="1:6" x14ac:dyDescent="0.25">
      <c r="A263" s="3">
        <f t="shared" si="21"/>
        <v>251</v>
      </c>
      <c r="B263" s="3">
        <f t="shared" si="22"/>
        <v>251</v>
      </c>
      <c r="C263" s="3">
        <f t="shared" si="23"/>
        <v>290.25152466461446</v>
      </c>
      <c r="D263" s="3">
        <f t="shared" si="18"/>
        <v>0.17350784048117082</v>
      </c>
      <c r="E263" s="3">
        <f t="shared" si="19"/>
        <v>290.22721992428899</v>
      </c>
      <c r="F263" s="3">
        <f t="shared" si="20"/>
        <v>2.4304740325476359E-2</v>
      </c>
    </row>
    <row r="264" spans="1:6" x14ac:dyDescent="0.25">
      <c r="A264" s="3">
        <f t="shared" si="21"/>
        <v>252</v>
      </c>
      <c r="B264" s="3">
        <f t="shared" si="22"/>
        <v>252</v>
      </c>
      <c r="C264" s="3">
        <f t="shared" si="23"/>
        <v>290.42503250509566</v>
      </c>
      <c r="D264" s="3">
        <f t="shared" si="18"/>
        <v>0.17045812447911038</v>
      </c>
      <c r="E264" s="3">
        <f t="shared" si="19"/>
        <v>290.39963537289088</v>
      </c>
      <c r="F264" s="3">
        <f t="shared" si="20"/>
        <v>2.5397132204773243E-2</v>
      </c>
    </row>
    <row r="265" spans="1:6" x14ac:dyDescent="0.25">
      <c r="A265" s="3">
        <f t="shared" si="21"/>
        <v>253</v>
      </c>
      <c r="B265" s="3">
        <f t="shared" si="22"/>
        <v>253</v>
      </c>
      <c r="C265" s="3">
        <f t="shared" si="23"/>
        <v>290.59549062957478</v>
      </c>
      <c r="D265" s="3">
        <f t="shared" si="18"/>
        <v>0.16746063736567296</v>
      </c>
      <c r="E265" s="3">
        <f t="shared" si="19"/>
        <v>290.56904630053867</v>
      </c>
      <c r="F265" s="3">
        <f t="shared" si="20"/>
        <v>2.6444329036110048E-2</v>
      </c>
    </row>
    <row r="266" spans="1:6" x14ac:dyDescent="0.25">
      <c r="A266" s="3">
        <f t="shared" si="21"/>
        <v>254</v>
      </c>
      <c r="B266" s="3">
        <f t="shared" si="22"/>
        <v>254</v>
      </c>
      <c r="C266" s="3">
        <f t="shared" si="23"/>
        <v>290.76295126694043</v>
      </c>
      <c r="D266" s="3">
        <f t="shared" si="18"/>
        <v>0.16451453422545276</v>
      </c>
      <c r="E266" s="3">
        <f t="shared" si="19"/>
        <v>290.73550374139217</v>
      </c>
      <c r="F266" s="3">
        <f t="shared" si="20"/>
        <v>2.7447525548268459E-2</v>
      </c>
    </row>
    <row r="267" spans="1:6" x14ac:dyDescent="0.25">
      <c r="A267" s="3">
        <f t="shared" si="21"/>
        <v>255</v>
      </c>
      <c r="B267" s="3">
        <f t="shared" si="22"/>
        <v>255</v>
      </c>
      <c r="C267" s="3">
        <f t="shared" si="23"/>
        <v>290.92746580116591</v>
      </c>
      <c r="D267" s="3">
        <f t="shared" si="18"/>
        <v>0.16161898199371263</v>
      </c>
      <c r="E267" s="3">
        <f t="shared" si="19"/>
        <v>290.89905791000189</v>
      </c>
      <c r="F267" s="3">
        <f t="shared" si="20"/>
        <v>2.8407891164022203E-2</v>
      </c>
    </row>
    <row r="268" spans="1:6" x14ac:dyDescent="0.25">
      <c r="A268" s="3">
        <f t="shared" si="21"/>
        <v>256</v>
      </c>
      <c r="B268" s="3">
        <f t="shared" si="22"/>
        <v>256</v>
      </c>
      <c r="C268" s="3">
        <f t="shared" si="23"/>
        <v>291.08908478315965</v>
      </c>
      <c r="D268" s="3">
        <f t="shared" ref="D268:D331" si="24">$B$3*C268^(3/4)*(1-(C268/$B$4)^(1/4))</f>
        <v>0.15877315936002184</v>
      </c>
      <c r="E268" s="3">
        <f t="shared" ref="E268:E331" si="25">( $B$8 + ($B$9-$B$8)*EXP(-$B$3*B268/(4*$B$8)) )^4</f>
        <v>291.05975821275285</v>
      </c>
      <c r="F268" s="3">
        <f t="shared" ref="F268:F331" si="26">ABS(C268-E268)</f>
        <v>2.9326570406794872E-2</v>
      </c>
    </row>
    <row r="269" spans="1:6" x14ac:dyDescent="0.25">
      <c r="A269" s="3">
        <f t="shared" ref="A269:A332" si="27">A268+1</f>
        <v>257</v>
      </c>
      <c r="B269" s="3">
        <f t="shared" ref="B269:B332" si="28">B268+$B$6</f>
        <v>257</v>
      </c>
      <c r="C269" s="3">
        <f t="shared" ref="C269:C332" si="29">C268+$B$6*D268</f>
        <v>291.24785794251966</v>
      </c>
      <c r="D269" s="3">
        <f t="shared" si="24"/>
        <v>0.15597625666957798</v>
      </c>
      <c r="E269" s="3">
        <f t="shared" si="25"/>
        <v>291.21765325921422</v>
      </c>
      <c r="F269" s="3">
        <f t="shared" si="26"/>
        <v>3.0204683305441904E-2</v>
      </c>
    </row>
    <row r="270" spans="1:6" x14ac:dyDescent="0.25">
      <c r="A270" s="3">
        <f t="shared" si="27"/>
        <v>258</v>
      </c>
      <c r="B270" s="3">
        <f t="shared" si="28"/>
        <v>258</v>
      </c>
      <c r="C270" s="3">
        <f t="shared" si="29"/>
        <v>291.40383419918925</v>
      </c>
      <c r="D270" s="3">
        <f t="shared" si="24"/>
        <v>0.1532274758224785</v>
      </c>
      <c r="E270" s="3">
        <f t="shared" si="25"/>
        <v>291.37279087339419</v>
      </c>
      <c r="F270" s="3">
        <f t="shared" si="26"/>
        <v>3.1043325795053534E-2</v>
      </c>
    </row>
    <row r="271" spans="1:6" x14ac:dyDescent="0.25">
      <c r="A271" s="3">
        <f t="shared" si="27"/>
        <v>259</v>
      </c>
      <c r="B271" s="3">
        <f t="shared" si="28"/>
        <v>259</v>
      </c>
      <c r="C271" s="3">
        <f t="shared" si="29"/>
        <v>291.55706167501171</v>
      </c>
      <c r="D271" s="3">
        <f t="shared" si="24"/>
        <v>0.15052603017103891</v>
      </c>
      <c r="E271" s="3">
        <f t="shared" si="25"/>
        <v>291.5252181048948</v>
      </c>
      <c r="F271" s="3">
        <f t="shared" si="26"/>
        <v>3.1843570116905084E-2</v>
      </c>
    </row>
    <row r="272" spans="1:6" x14ac:dyDescent="0.25">
      <c r="A272" s="3">
        <f t="shared" si="27"/>
        <v>260</v>
      </c>
      <c r="B272" s="3">
        <f t="shared" si="28"/>
        <v>260</v>
      </c>
      <c r="C272" s="3">
        <f t="shared" si="29"/>
        <v>291.70758770518273</v>
      </c>
      <c r="D272" s="3">
        <f t="shared" si="24"/>
        <v>0.14787114441533863</v>
      </c>
      <c r="E272" s="3">
        <f t="shared" si="25"/>
        <v>291.67498123996745</v>
      </c>
      <c r="F272" s="3">
        <f t="shared" si="26"/>
        <v>3.2606465215280878E-2</v>
      </c>
    </row>
    <row r="273" spans="1:6" x14ac:dyDescent="0.25">
      <c r="A273" s="3">
        <f t="shared" si="27"/>
        <v>261</v>
      </c>
      <c r="B273" s="3">
        <f t="shared" si="28"/>
        <v>261</v>
      </c>
      <c r="C273" s="3">
        <f t="shared" si="29"/>
        <v>291.85545884959805</v>
      </c>
      <c r="D273" s="3">
        <f t="shared" si="24"/>
        <v>0.1452620544971798</v>
      </c>
      <c r="E273" s="3">
        <f t="shared" si="25"/>
        <v>291.8221258124666</v>
      </c>
      <c r="F273" s="3">
        <f t="shared" si="26"/>
        <v>3.3333037131455967E-2</v>
      </c>
    </row>
    <row r="274" spans="1:6" x14ac:dyDescent="0.25">
      <c r="A274" s="3">
        <f t="shared" si="27"/>
        <v>262</v>
      </c>
      <c r="B274" s="3">
        <f t="shared" si="28"/>
        <v>262</v>
      </c>
      <c r="C274" s="3">
        <f t="shared" si="29"/>
        <v>292.0007209040952</v>
      </c>
      <c r="D274" s="3">
        <f t="shared" si="24"/>
        <v>0.14269800749253853</v>
      </c>
      <c r="E274" s="3">
        <f t="shared" si="25"/>
        <v>291.96669661470031</v>
      </c>
      <c r="F274" s="3">
        <f t="shared" si="26"/>
        <v>3.4024289394892548E-2</v>
      </c>
    </row>
    <row r="275" spans="1:6" x14ac:dyDescent="0.25">
      <c r="A275" s="3">
        <f t="shared" si="27"/>
        <v>263</v>
      </c>
      <c r="B275" s="3">
        <f t="shared" si="28"/>
        <v>263</v>
      </c>
      <c r="C275" s="3">
        <f t="shared" si="29"/>
        <v>292.14341891158773</v>
      </c>
      <c r="D275" s="3">
        <f t="shared" si="24"/>
        <v>0.14017826150273147</v>
      </c>
      <c r="E275" s="3">
        <f t="shared" si="25"/>
        <v>292.10873770817665</v>
      </c>
      <c r="F275" s="3">
        <f t="shared" si="26"/>
        <v>3.4681203411082606E-2</v>
      </c>
    </row>
    <row r="276" spans="1:6" x14ac:dyDescent="0.25">
      <c r="A276" s="3">
        <f t="shared" si="27"/>
        <v>264</v>
      </c>
      <c r="B276" s="3">
        <f t="shared" si="28"/>
        <v>264</v>
      </c>
      <c r="C276" s="3">
        <f t="shared" si="29"/>
        <v>292.28359717309047</v>
      </c>
      <c r="D276" s="3">
        <f t="shared" si="24"/>
        <v>0.13770208554435137</v>
      </c>
      <c r="E276" s="3">
        <f t="shared" si="25"/>
        <v>292.24829243424449</v>
      </c>
      <c r="F276" s="3">
        <f t="shared" si="26"/>
        <v>3.5304738845979955E-2</v>
      </c>
    </row>
    <row r="277" spans="1:6" x14ac:dyDescent="0.25">
      <c r="A277" s="3">
        <f t="shared" si="27"/>
        <v>265</v>
      </c>
      <c r="B277" s="3">
        <f t="shared" si="28"/>
        <v>265</v>
      </c>
      <c r="C277" s="3">
        <f t="shared" si="29"/>
        <v>292.4212992586348</v>
      </c>
      <c r="D277" s="3">
        <f t="shared" si="24"/>
        <v>0.13526875943815095</v>
      </c>
      <c r="E277" s="3">
        <f t="shared" si="25"/>
        <v>292.38540342462716</v>
      </c>
      <c r="F277" s="3">
        <f t="shared" si="26"/>
        <v>3.5895834007646954E-2</v>
      </c>
    </row>
    <row r="278" spans="1:6" x14ac:dyDescent="0.25">
      <c r="A278" s="3">
        <f t="shared" si="27"/>
        <v>266</v>
      </c>
      <c r="B278" s="3">
        <f t="shared" si="28"/>
        <v>266</v>
      </c>
      <c r="C278" s="3">
        <f t="shared" si="29"/>
        <v>292.55656801807294</v>
      </c>
      <c r="D278" s="3">
        <f t="shared" si="24"/>
        <v>0.13287757369699019</v>
      </c>
      <c r="E278" s="3">
        <f t="shared" si="25"/>
        <v>292.52011261184862</v>
      </c>
      <c r="F278" s="3">
        <f t="shared" si="26"/>
        <v>3.6455406224320086E-2</v>
      </c>
    </row>
    <row r="279" spans="1:6" x14ac:dyDescent="0.25">
      <c r="A279" s="3">
        <f t="shared" si="27"/>
        <v>267</v>
      </c>
      <c r="B279" s="3">
        <f t="shared" si="28"/>
        <v>267</v>
      </c>
      <c r="C279" s="3">
        <f t="shared" si="29"/>
        <v>292.68944559176992</v>
      </c>
      <c r="D279" s="3">
        <f t="shared" si="24"/>
        <v>0.1305278294129357</v>
      </c>
      <c r="E279" s="3">
        <f t="shared" si="25"/>
        <v>292.65246123955205</v>
      </c>
      <c r="F279" s="3">
        <f t="shared" si="26"/>
        <v>3.6984352217871219E-2</v>
      </c>
    </row>
    <row r="280" spans="1:6" x14ac:dyDescent="0.25">
      <c r="A280" s="3">
        <f t="shared" si="27"/>
        <v>268</v>
      </c>
      <c r="B280" s="3">
        <f t="shared" si="28"/>
        <v>268</v>
      </c>
      <c r="C280" s="3">
        <f t="shared" si="29"/>
        <v>292.81997342118285</v>
      </c>
      <c r="D280" s="3">
        <f t="shared" si="24"/>
        <v>0.12821883814366392</v>
      </c>
      <c r="E280" s="3">
        <f t="shared" si="25"/>
        <v>292.78248987270837</v>
      </c>
      <c r="F280" s="3">
        <f t="shared" si="26"/>
        <v>3.7483548474483541E-2</v>
      </c>
    </row>
    <row r="281" spans="1:6" x14ac:dyDescent="0.25">
      <c r="A281" s="3">
        <f t="shared" si="27"/>
        <v>269</v>
      </c>
      <c r="B281" s="3">
        <f t="shared" si="28"/>
        <v>269</v>
      </c>
      <c r="C281" s="3">
        <f t="shared" si="29"/>
        <v>292.9481922593265</v>
      </c>
      <c r="D281" s="3">
        <f t="shared" si="24"/>
        <v>0.1259499217982335</v>
      </c>
      <c r="E281" s="3">
        <f t="shared" si="25"/>
        <v>292.91023840771533</v>
      </c>
      <c r="F281" s="3">
        <f t="shared" si="26"/>
        <v>3.7953851611177924E-2</v>
      </c>
    </row>
    <row r="282" spans="1:6" x14ac:dyDescent="0.25">
      <c r="A282" s="3">
        <f t="shared" si="27"/>
        <v>270</v>
      </c>
      <c r="B282" s="3">
        <f t="shared" si="28"/>
        <v>270</v>
      </c>
      <c r="C282" s="3">
        <f t="shared" si="29"/>
        <v>293.07414218112473</v>
      </c>
      <c r="D282" s="3">
        <f t="shared" si="24"/>
        <v>0.12372041252236764</v>
      </c>
      <c r="E282" s="3">
        <f t="shared" si="25"/>
        <v>293.0357460823858</v>
      </c>
      <c r="F282" s="3">
        <f t="shared" si="26"/>
        <v>3.8396098738928686E-2</v>
      </c>
    </row>
    <row r="283" spans="1:6" x14ac:dyDescent="0.25">
      <c r="A283" s="3">
        <f t="shared" si="27"/>
        <v>271</v>
      </c>
      <c r="B283" s="3">
        <f t="shared" si="28"/>
        <v>271</v>
      </c>
      <c r="C283" s="3">
        <f t="shared" si="29"/>
        <v>293.19786259364707</v>
      </c>
      <c r="D283" s="3">
        <f t="shared" si="24"/>
        <v>0.1215296525833055</v>
      </c>
      <c r="E283" s="3">
        <f t="shared" si="25"/>
        <v>293.15905148582652</v>
      </c>
      <c r="F283" s="3">
        <f t="shared" si="26"/>
        <v>3.8811107820549751E-2</v>
      </c>
    </row>
    <row r="284" spans="1:6" x14ac:dyDescent="0.25">
      <c r="A284" s="3">
        <f t="shared" si="27"/>
        <v>272</v>
      </c>
      <c r="B284" s="3">
        <f t="shared" si="28"/>
        <v>272</v>
      </c>
      <c r="C284" s="3">
        <f t="shared" si="29"/>
        <v>293.31939224623039</v>
      </c>
      <c r="D284" s="3">
        <f t="shared" si="24"/>
        <v>0.11937699425433944</v>
      </c>
      <c r="E284" s="3">
        <f t="shared" si="25"/>
        <v>293.28019256820471</v>
      </c>
      <c r="F284" s="3">
        <f t="shared" si="26"/>
        <v>3.9199678025681806E-2</v>
      </c>
    </row>
    <row r="285" spans="1:6" x14ac:dyDescent="0.25">
      <c r="A285" s="3">
        <f t="shared" si="27"/>
        <v>273</v>
      </c>
      <c r="B285" s="3">
        <f t="shared" si="28"/>
        <v>273</v>
      </c>
      <c r="C285" s="3">
        <f t="shared" si="29"/>
        <v>293.43876924048476</v>
      </c>
      <c r="D285" s="3">
        <f t="shared" si="24"/>
        <v>0.11726179969911925</v>
      </c>
      <c r="E285" s="3">
        <f t="shared" si="25"/>
        <v>293.39920665040302</v>
      </c>
      <c r="F285" s="3">
        <f t="shared" si="26"/>
        <v>3.9562590081743565E-2</v>
      </c>
    </row>
    <row r="286" spans="1:6" x14ac:dyDescent="0.25">
      <c r="A286" s="3">
        <f t="shared" si="27"/>
        <v>274</v>
      </c>
      <c r="B286" s="3">
        <f t="shared" si="28"/>
        <v>274</v>
      </c>
      <c r="C286" s="3">
        <f t="shared" si="29"/>
        <v>293.55603104018388</v>
      </c>
      <c r="D286" s="3">
        <f t="shared" si="24"/>
        <v>0.11518344085580574</v>
      </c>
      <c r="E286" s="3">
        <f t="shared" si="25"/>
        <v>293.51613043356451</v>
      </c>
      <c r="F286" s="3">
        <f t="shared" si="26"/>
        <v>3.9900606619369228E-2</v>
      </c>
    </row>
    <row r="287" spans="1:6" x14ac:dyDescent="0.25">
      <c r="A287" s="3">
        <f t="shared" si="27"/>
        <v>275</v>
      </c>
      <c r="B287" s="3">
        <f t="shared" si="28"/>
        <v>275</v>
      </c>
      <c r="C287" s="3">
        <f t="shared" si="29"/>
        <v>293.67121448103967</v>
      </c>
      <c r="D287" s="3">
        <f t="shared" si="24"/>
        <v>0.11314129932113463</v>
      </c>
      <c r="E287" s="3">
        <f t="shared" si="25"/>
        <v>293.63100000852501</v>
      </c>
      <c r="F287" s="3">
        <f t="shared" si="26"/>
        <v>4.0214472514662702E-2</v>
      </c>
    </row>
    <row r="288" spans="1:6" x14ac:dyDescent="0.25">
      <c r="A288" s="3">
        <f t="shared" si="27"/>
        <v>276</v>
      </c>
      <c r="B288" s="3">
        <f t="shared" si="28"/>
        <v>276</v>
      </c>
      <c r="C288" s="3">
        <f t="shared" si="29"/>
        <v>293.78435578036078</v>
      </c>
      <c r="D288" s="3">
        <f t="shared" si="24"/>
        <v>0.11113476623450531</v>
      </c>
      <c r="E288" s="3">
        <f t="shared" si="25"/>
        <v>293.74385086513325</v>
      </c>
      <c r="F288" s="3">
        <f t="shared" si="26"/>
        <v>4.0504915227529636E-2</v>
      </c>
    </row>
    <row r="289" spans="1:6" x14ac:dyDescent="0.25">
      <c r="A289" s="3">
        <f t="shared" si="27"/>
        <v>277</v>
      </c>
      <c r="B289" s="3">
        <f t="shared" si="28"/>
        <v>277</v>
      </c>
      <c r="C289" s="3">
        <f t="shared" si="29"/>
        <v>293.89549054659528</v>
      </c>
      <c r="D289" s="3">
        <f t="shared" si="24"/>
        <v>0.109163242162133</v>
      </c>
      <c r="E289" s="3">
        <f t="shared" si="25"/>
        <v>293.8547179014613</v>
      </c>
      <c r="F289" s="3">
        <f t="shared" si="26"/>
        <v>4.0772645133984042E-2</v>
      </c>
    </row>
    <row r="290" spans="1:6" x14ac:dyDescent="0.25">
      <c r="A290" s="3">
        <f t="shared" si="27"/>
        <v>278</v>
      </c>
      <c r="B290" s="3">
        <f t="shared" si="28"/>
        <v>278</v>
      </c>
      <c r="C290" s="3">
        <f t="shared" si="29"/>
        <v>294.00465378875742</v>
      </c>
      <c r="D290" s="3">
        <f t="shared" si="24"/>
        <v>0.10722613698133782</v>
      </c>
      <c r="E290" s="3">
        <f t="shared" si="25"/>
        <v>293.96363543290073</v>
      </c>
      <c r="F290" s="3">
        <f t="shared" si="26"/>
        <v>4.1018355856692779E-2</v>
      </c>
    </row>
    <row r="291" spans="1:6" x14ac:dyDescent="0.25">
      <c r="A291" s="3">
        <f t="shared" si="27"/>
        <v>279</v>
      </c>
      <c r="B291" s="3">
        <f t="shared" si="28"/>
        <v>279</v>
      </c>
      <c r="C291" s="3">
        <f t="shared" si="29"/>
        <v>294.11187992573878</v>
      </c>
      <c r="D291" s="3">
        <f t="shared" si="24"/>
        <v>0.1053228697650387</v>
      </c>
      <c r="E291" s="3">
        <f t="shared" si="25"/>
        <v>294.07063720115025</v>
      </c>
      <c r="F291" s="3">
        <f t="shared" si="26"/>
        <v>4.124272458852829E-2</v>
      </c>
    </row>
    <row r="292" spans="1:6" x14ac:dyDescent="0.25">
      <c r="A292" s="3">
        <f t="shared" si="27"/>
        <v>280</v>
      </c>
      <c r="B292" s="3">
        <f t="shared" si="28"/>
        <v>280</v>
      </c>
      <c r="C292" s="3">
        <f t="shared" si="29"/>
        <v>294.21720279550379</v>
      </c>
      <c r="D292" s="3">
        <f t="shared" si="24"/>
        <v>0.10345286866652785</v>
      </c>
      <c r="E292" s="3">
        <f t="shared" si="25"/>
        <v>294.1757563830904</v>
      </c>
      <c r="F292" s="3">
        <f t="shared" si="26"/>
        <v>4.1446412413392864E-2</v>
      </c>
    </row>
    <row r="293" spans="1:6" x14ac:dyDescent="0.25">
      <c r="A293" s="3">
        <f t="shared" si="27"/>
        <v>281</v>
      </c>
      <c r="B293" s="3">
        <f t="shared" si="28"/>
        <v>281</v>
      </c>
      <c r="C293" s="3">
        <f t="shared" si="29"/>
        <v>294.32065566417032</v>
      </c>
      <c r="D293" s="3">
        <f t="shared" si="24"/>
        <v>0.1016155708045402</v>
      </c>
      <c r="E293" s="3">
        <f t="shared" si="25"/>
        <v>294.27902559954867</v>
      </c>
      <c r="F293" s="3">
        <f t="shared" si="26"/>
        <v>4.1630064621642759E-2</v>
      </c>
    </row>
    <row r="294" spans="1:6" x14ac:dyDescent="0.25">
      <c r="A294" s="3">
        <f t="shared" si="27"/>
        <v>282</v>
      </c>
      <c r="B294" s="3">
        <f t="shared" si="28"/>
        <v>282</v>
      </c>
      <c r="C294" s="3">
        <f t="shared" si="29"/>
        <v>294.42227123497486</v>
      </c>
      <c r="D294" s="3">
        <f t="shared" si="24"/>
        <v>9.9810422148720435E-2</v>
      </c>
      <c r="E294" s="3">
        <f t="shared" si="25"/>
        <v>294.38047692395259</v>
      </c>
      <c r="F294" s="3">
        <f t="shared" si="26"/>
        <v>4.1794311022272268E-2</v>
      </c>
    </row>
    <row r="295" spans="1:6" x14ac:dyDescent="0.25">
      <c r="A295" s="3">
        <f t="shared" si="27"/>
        <v>283</v>
      </c>
      <c r="B295" s="3">
        <f t="shared" si="28"/>
        <v>283</v>
      </c>
      <c r="C295" s="3">
        <f t="shared" si="29"/>
        <v>294.52208165712358</v>
      </c>
      <c r="D295" s="3">
        <f t="shared" si="24"/>
        <v>9.8036877405517989E-2</v>
      </c>
      <c r="E295" s="3">
        <f t="shared" si="25"/>
        <v>294.48014189087411</v>
      </c>
      <c r="F295" s="3">
        <f t="shared" si="26"/>
        <v>4.1939766249470267E-2</v>
      </c>
    </row>
    <row r="296" spans="1:6" x14ac:dyDescent="0.25">
      <c r="A296" s="3">
        <f t="shared" si="27"/>
        <v>284</v>
      </c>
      <c r="B296" s="3">
        <f t="shared" si="28"/>
        <v>284</v>
      </c>
      <c r="C296" s="3">
        <f t="shared" si="29"/>
        <v>294.62011853452907</v>
      </c>
      <c r="D296" s="3">
        <f t="shared" si="24"/>
        <v>9.6294399904546815E-2</v>
      </c>
      <c r="E296" s="3">
        <f t="shared" si="25"/>
        <v>294.57805150446399</v>
      </c>
      <c r="F296" s="3">
        <f t="shared" si="26"/>
        <v>4.2067030065084055E-2</v>
      </c>
    </row>
    <row r="297" spans="1:6" x14ac:dyDescent="0.25">
      <c r="A297" s="3">
        <f t="shared" si="27"/>
        <v>285</v>
      </c>
      <c r="B297" s="3">
        <f t="shared" si="28"/>
        <v>285</v>
      </c>
      <c r="C297" s="3">
        <f t="shared" si="29"/>
        <v>294.71641293443361</v>
      </c>
      <c r="D297" s="3">
        <f t="shared" si="24"/>
        <v>9.4582461485481051E-2</v>
      </c>
      <c r="E297" s="3">
        <f t="shared" si="25"/>
        <v>294.67423624677656</v>
      </c>
      <c r="F297" s="3">
        <f t="shared" si="26"/>
        <v>4.2176687657047296E-2</v>
      </c>
    </row>
    <row r="298" spans="1:6" x14ac:dyDescent="0.25">
      <c r="A298" s="3">
        <f t="shared" si="27"/>
        <v>286</v>
      </c>
      <c r="B298" s="3">
        <f t="shared" si="28"/>
        <v>286</v>
      </c>
      <c r="C298" s="3">
        <f t="shared" si="29"/>
        <v>294.81099539591906</v>
      </c>
      <c r="D298" s="3">
        <f t="shared" si="24"/>
        <v>9.2900542385491586E-2</v>
      </c>
      <c r="E298" s="3">
        <f t="shared" si="25"/>
        <v>294.76872608598569</v>
      </c>
      <c r="F298" s="3">
        <f t="shared" si="26"/>
        <v>4.2269309933374188E-2</v>
      </c>
    </row>
    <row r="299" spans="1:6" x14ac:dyDescent="0.25">
      <c r="A299" s="3">
        <f t="shared" si="27"/>
        <v>287</v>
      </c>
      <c r="B299" s="3">
        <f t="shared" si="28"/>
        <v>287</v>
      </c>
      <c r="C299" s="3">
        <f t="shared" si="29"/>
        <v>294.90389593830457</v>
      </c>
      <c r="D299" s="3">
        <f t="shared" si="24"/>
        <v>9.1248131127329435E-2</v>
      </c>
      <c r="E299" s="3">
        <f t="shared" si="25"/>
        <v>294.86155048449365</v>
      </c>
      <c r="F299" s="3">
        <f t="shared" si="26"/>
        <v>4.2345453810924027E-2</v>
      </c>
    </row>
    <row r="300" spans="1:6" x14ac:dyDescent="0.25">
      <c r="A300" s="3">
        <f t="shared" si="27"/>
        <v>288</v>
      </c>
      <c r="B300" s="3">
        <f t="shared" si="28"/>
        <v>288</v>
      </c>
      <c r="C300" s="3">
        <f t="shared" si="29"/>
        <v>294.99514406943189</v>
      </c>
      <c r="D300" s="3">
        <f t="shared" si="24"/>
        <v>8.9624724408011613E-2</v>
      </c>
      <c r="E300" s="3">
        <f t="shared" si="25"/>
        <v>294.95273840693216</v>
      </c>
      <c r="F300" s="3">
        <f t="shared" si="26"/>
        <v>4.2405662499731989E-2</v>
      </c>
    </row>
    <row r="301" spans="1:6" x14ac:dyDescent="0.25">
      <c r="A301" s="3">
        <f t="shared" si="27"/>
        <v>289</v>
      </c>
      <c r="B301" s="3">
        <f t="shared" si="28"/>
        <v>289</v>
      </c>
      <c r="C301" s="3">
        <f t="shared" si="29"/>
        <v>295.08476879383988</v>
      </c>
      <c r="D301" s="3">
        <f t="shared" si="24"/>
        <v>8.8029826988201429E-2</v>
      </c>
      <c r="E301" s="3">
        <f t="shared" si="25"/>
        <v>295.04231832805465</v>
      </c>
      <c r="F301" s="3">
        <f t="shared" si="26"/>
        <v>4.2450465785236702E-2</v>
      </c>
    </row>
    <row r="302" spans="1:6" x14ac:dyDescent="0.25">
      <c r="A302" s="3">
        <f t="shared" si="27"/>
        <v>290</v>
      </c>
      <c r="B302" s="3">
        <f t="shared" si="28"/>
        <v>290</v>
      </c>
      <c r="C302" s="3">
        <f t="shared" si="29"/>
        <v>295.17279862082808</v>
      </c>
      <c r="D302" s="3">
        <f t="shared" si="24"/>
        <v>8.6462951582321049E-2</v>
      </c>
      <c r="E302" s="3">
        <f t="shared" si="25"/>
        <v>295.13031824052581</v>
      </c>
      <c r="F302" s="3">
        <f t="shared" si="26"/>
        <v>4.248038030226553E-2</v>
      </c>
    </row>
    <row r="303" spans="1:6" x14ac:dyDescent="0.25">
      <c r="A303" s="3">
        <f t="shared" si="27"/>
        <v>291</v>
      </c>
      <c r="B303" s="3">
        <f t="shared" si="28"/>
        <v>291</v>
      </c>
      <c r="C303" s="3">
        <f t="shared" si="29"/>
        <v>295.25926157241042</v>
      </c>
      <c r="D303" s="3">
        <f t="shared" si="24"/>
        <v>8.49236187493706E-2</v>
      </c>
      <c r="E303" s="3">
        <f t="shared" si="25"/>
        <v>295.21676566260169</v>
      </c>
      <c r="F303" s="3">
        <f t="shared" si="26"/>
        <v>4.2495909808735632E-2</v>
      </c>
    </row>
    <row r="304" spans="1:6" x14ac:dyDescent="0.25">
      <c r="A304" s="3">
        <f t="shared" si="27"/>
        <v>292</v>
      </c>
      <c r="B304" s="3">
        <f t="shared" si="28"/>
        <v>292</v>
      </c>
      <c r="C304" s="3">
        <f t="shared" si="29"/>
        <v>295.3441851911598</v>
      </c>
      <c r="D304" s="3">
        <f t="shared" si="24"/>
        <v>8.3411356784554316E-2</v>
      </c>
      <c r="E304" s="3">
        <f t="shared" si="25"/>
        <v>295.30168764570863</v>
      </c>
      <c r="F304" s="3">
        <f t="shared" si="26"/>
        <v>4.2497545451169572E-2</v>
      </c>
    </row>
    <row r="305" spans="1:6" x14ac:dyDescent="0.25">
      <c r="A305" s="3">
        <f t="shared" si="27"/>
        <v>293</v>
      </c>
      <c r="B305" s="3">
        <f t="shared" si="28"/>
        <v>293</v>
      </c>
      <c r="C305" s="3">
        <f t="shared" si="29"/>
        <v>295.42759654794435</v>
      </c>
      <c r="D305" s="3">
        <f t="shared" si="24"/>
        <v>8.1925701611687135E-2</v>
      </c>
      <c r="E305" s="3">
        <f t="shared" si="25"/>
        <v>295.38511078191596</v>
      </c>
      <c r="F305" s="3">
        <f t="shared" si="26"/>
        <v>4.2485766028391936E-2</v>
      </c>
    </row>
    <row r="306" spans="1:6" x14ac:dyDescent="0.25">
      <c r="A306" s="3">
        <f t="shared" si="27"/>
        <v>294</v>
      </c>
      <c r="B306" s="3">
        <f t="shared" si="28"/>
        <v>294</v>
      </c>
      <c r="C306" s="3">
        <f t="shared" si="29"/>
        <v>295.50952224955603</v>
      </c>
      <c r="D306" s="3">
        <f t="shared" si="24"/>
        <v>8.0466196676439602E-2</v>
      </c>
      <c r="E306" s="3">
        <f t="shared" si="25"/>
        <v>295.4670612113045</v>
      </c>
      <c r="F306" s="3">
        <f t="shared" si="26"/>
        <v>4.2461038251531136E-2</v>
      </c>
    </row>
    <row r="307" spans="1:6" x14ac:dyDescent="0.25">
      <c r="A307" s="3">
        <f t="shared" si="27"/>
        <v>295</v>
      </c>
      <c r="B307" s="3">
        <f t="shared" si="28"/>
        <v>295</v>
      </c>
      <c r="C307" s="3">
        <f t="shared" si="29"/>
        <v>295.58998844623244</v>
      </c>
      <c r="D307" s="3">
        <f t="shared" si="24"/>
        <v>7.9032392840416285E-2</v>
      </c>
      <c r="E307" s="3">
        <f t="shared" si="25"/>
        <v>295.54756462923609</v>
      </c>
      <c r="F307" s="3">
        <f t="shared" si="26"/>
        <v>4.2423816996347341E-2</v>
      </c>
    </row>
    <row r="308" spans="1:6" x14ac:dyDescent="0.25">
      <c r="A308" s="3">
        <f t="shared" si="27"/>
        <v>296</v>
      </c>
      <c r="B308" s="3">
        <f t="shared" si="28"/>
        <v>296</v>
      </c>
      <c r="C308" s="3">
        <f t="shared" si="29"/>
        <v>295.66902083907286</v>
      </c>
      <c r="D308" s="3">
        <f t="shared" si="24"/>
        <v>7.7623848276133375E-2</v>
      </c>
      <c r="E308" s="3">
        <f t="shared" si="25"/>
        <v>295.62664629351804</v>
      </c>
      <c r="F308" s="3">
        <f t="shared" si="26"/>
        <v>4.2374545554821452E-2</v>
      </c>
    </row>
    <row r="309" spans="1:6" x14ac:dyDescent="0.25">
      <c r="A309" s="3">
        <f t="shared" si="27"/>
        <v>297</v>
      </c>
      <c r="B309" s="3">
        <f t="shared" si="28"/>
        <v>297</v>
      </c>
      <c r="C309" s="3">
        <f t="shared" si="29"/>
        <v>295.74664468734898</v>
      </c>
      <c r="D309" s="3">
        <f t="shared" si="24"/>
        <v>7.6240128362853432E-2</v>
      </c>
      <c r="E309" s="3">
        <f t="shared" si="25"/>
        <v>295.7043310314686</v>
      </c>
      <c r="F309" s="3">
        <f t="shared" si="26"/>
        <v>4.231365588037761E-2</v>
      </c>
    </row>
    <row r="310" spans="1:6" x14ac:dyDescent="0.25">
      <c r="A310" s="3">
        <f t="shared" si="27"/>
        <v>298</v>
      </c>
      <c r="B310" s="3">
        <f t="shared" si="28"/>
        <v>298</v>
      </c>
      <c r="C310" s="3">
        <f t="shared" si="29"/>
        <v>295.8228848157118</v>
      </c>
      <c r="D310" s="3">
        <f t="shared" si="24"/>
        <v>7.4880805583358107E-2</v>
      </c>
      <c r="E310" s="3">
        <f t="shared" si="25"/>
        <v>295.78064324688171</v>
      </c>
      <c r="F310" s="3">
        <f t="shared" si="26"/>
        <v>4.2241568830093001E-2</v>
      </c>
    </row>
    <row r="311" spans="1:6" x14ac:dyDescent="0.25">
      <c r="A311" s="3">
        <f t="shared" si="27"/>
        <v>299</v>
      </c>
      <c r="B311" s="3">
        <f t="shared" si="28"/>
        <v>299</v>
      </c>
      <c r="C311" s="3">
        <f t="shared" si="29"/>
        <v>295.89776562129515</v>
      </c>
      <c r="D311" s="3">
        <f t="shared" si="24"/>
        <v>7.3545459421639481E-2</v>
      </c>
      <c r="E311" s="3">
        <f t="shared" si="25"/>
        <v>295.85560692689171</v>
      </c>
      <c r="F311" s="3">
        <f t="shared" si="26"/>
        <v>4.2158694403440222E-2</v>
      </c>
    </row>
    <row r="312" spans="1:6" x14ac:dyDescent="0.25">
      <c r="A312" s="3">
        <f t="shared" si="27"/>
        <v>300</v>
      </c>
      <c r="B312" s="3">
        <f t="shared" si="28"/>
        <v>300</v>
      </c>
      <c r="C312" s="3">
        <f t="shared" si="29"/>
        <v>295.97131108071682</v>
      </c>
      <c r="D312" s="3">
        <f t="shared" si="24"/>
        <v>7.2233676261525215E-2</v>
      </c>
      <c r="E312" s="3">
        <f t="shared" si="25"/>
        <v>295.92924564874346</v>
      </c>
      <c r="F312" s="3">
        <f t="shared" si="26"/>
        <v>4.2065431973355771E-2</v>
      </c>
    </row>
    <row r="313" spans="1:6" x14ac:dyDescent="0.25">
      <c r="A313" s="3">
        <f t="shared" si="27"/>
        <v>301</v>
      </c>
      <c r="B313" s="3">
        <f t="shared" si="28"/>
        <v>301</v>
      </c>
      <c r="C313" s="3">
        <f t="shared" si="29"/>
        <v>296.04354475697835</v>
      </c>
      <c r="D313" s="3">
        <f t="shared" si="24"/>
        <v>7.0945049286276027E-2</v>
      </c>
      <c r="E313" s="3">
        <f t="shared" si="25"/>
        <v>296.00158258646007</v>
      </c>
      <c r="F313" s="3">
        <f t="shared" si="26"/>
        <v>4.1962170518274888E-2</v>
      </c>
    </row>
    <row r="314" spans="1:6" x14ac:dyDescent="0.25">
      <c r="A314" s="3">
        <f t="shared" si="27"/>
        <v>302</v>
      </c>
      <c r="B314" s="3">
        <f t="shared" si="28"/>
        <v>302</v>
      </c>
      <c r="C314" s="3">
        <f t="shared" si="29"/>
        <v>296.1144898062646</v>
      </c>
      <c r="D314" s="3">
        <f t="shared" si="24"/>
        <v>6.9679178379146278E-2</v>
      </c>
      <c r="E314" s="3">
        <f t="shared" si="25"/>
        <v>296.0726405174189</v>
      </c>
      <c r="F314" s="3">
        <f t="shared" si="26"/>
        <v>4.1849288845696719E-2</v>
      </c>
    </row>
    <row r="315" spans="1:6" x14ac:dyDescent="0.25">
      <c r="A315" s="3">
        <f t="shared" si="27"/>
        <v>303</v>
      </c>
      <c r="B315" s="3">
        <f t="shared" si="28"/>
        <v>303</v>
      </c>
      <c r="C315" s="3">
        <f t="shared" si="29"/>
        <v>296.18416898464375</v>
      </c>
      <c r="D315" s="3">
        <f t="shared" si="24"/>
        <v>6.8435670024919584E-2</v>
      </c>
      <c r="E315" s="3">
        <f t="shared" si="25"/>
        <v>296.14244182882834</v>
      </c>
      <c r="F315" s="3">
        <f t="shared" si="26"/>
        <v>4.1727155815408423E-2</v>
      </c>
    </row>
    <row r="316" spans="1:6" x14ac:dyDescent="0.25">
      <c r="A316" s="3">
        <f t="shared" si="27"/>
        <v>304</v>
      </c>
      <c r="B316" s="3">
        <f t="shared" si="28"/>
        <v>304</v>
      </c>
      <c r="C316" s="3">
        <f t="shared" si="29"/>
        <v>296.25260465466869</v>
      </c>
      <c r="D316" s="3">
        <f t="shared" si="24"/>
        <v>6.7214137212451286E-2</v>
      </c>
      <c r="E316" s="3">
        <f t="shared" si="25"/>
        <v>296.2110085241132</v>
      </c>
      <c r="F316" s="3">
        <f t="shared" si="26"/>
        <v>4.1596130555490163E-2</v>
      </c>
    </row>
    <row r="317" spans="1:6" x14ac:dyDescent="0.25">
      <c r="A317" s="3">
        <f t="shared" si="27"/>
        <v>305</v>
      </c>
      <c r="B317" s="3">
        <f t="shared" si="28"/>
        <v>305</v>
      </c>
      <c r="C317" s="3">
        <f t="shared" si="29"/>
        <v>296.31981879188112</v>
      </c>
      <c r="D317" s="3">
        <f t="shared" si="24"/>
        <v>6.6014199338201726E-2</v>
      </c>
      <c r="E317" s="3">
        <f t="shared" si="25"/>
        <v>296.27836222920411</v>
      </c>
      <c r="F317" s="3">
        <f t="shared" si="26"/>
        <v>4.1456562677012698E-2</v>
      </c>
    </row>
    <row r="318" spans="1:6" x14ac:dyDescent="0.25">
      <c r="A318" s="3">
        <f t="shared" si="27"/>
        <v>306</v>
      </c>
      <c r="B318" s="3">
        <f t="shared" si="28"/>
        <v>306</v>
      </c>
      <c r="C318" s="3">
        <f t="shared" si="29"/>
        <v>296.38583299121933</v>
      </c>
      <c r="D318" s="3">
        <f t="shared" si="24"/>
        <v>6.4835482110787324E-2</v>
      </c>
      <c r="E318" s="3">
        <f t="shared" si="25"/>
        <v>296.34452419873628</v>
      </c>
      <c r="F318" s="3">
        <f t="shared" si="26"/>
        <v>4.1308792483050638E-2</v>
      </c>
    </row>
    <row r="319" spans="1:6" x14ac:dyDescent="0.25">
      <c r="A319" s="3">
        <f t="shared" si="27"/>
        <v>307</v>
      </c>
      <c r="B319" s="3">
        <f t="shared" si="28"/>
        <v>307</v>
      </c>
      <c r="C319" s="3">
        <f t="shared" si="29"/>
        <v>296.4506684733301</v>
      </c>
      <c r="D319" s="3">
        <f t="shared" si="24"/>
        <v>6.3677617456535121E-2</v>
      </c>
      <c r="E319" s="3">
        <f t="shared" si="25"/>
        <v>296.40951532215456</v>
      </c>
      <c r="F319" s="3">
        <f t="shared" si="26"/>
        <v>4.1153151175535641E-2</v>
      </c>
    </row>
    <row r="320" spans="1:6" x14ac:dyDescent="0.25">
      <c r="A320" s="3">
        <f t="shared" si="27"/>
        <v>308</v>
      </c>
      <c r="B320" s="3">
        <f t="shared" si="28"/>
        <v>308</v>
      </c>
      <c r="C320" s="3">
        <f t="shared" si="29"/>
        <v>296.51434609078666</v>
      </c>
      <c r="D320" s="3">
        <f t="shared" si="24"/>
        <v>6.2540243426075587E-2</v>
      </c>
      <c r="E320" s="3">
        <f t="shared" si="25"/>
        <v>296.47335612973012</v>
      </c>
      <c r="F320" s="3">
        <f t="shared" si="26"/>
        <v>4.0989961056538959E-2</v>
      </c>
    </row>
    <row r="321" spans="1:6" x14ac:dyDescent="0.25">
      <c r="A321" s="3">
        <f t="shared" si="27"/>
        <v>309</v>
      </c>
      <c r="B321" s="3">
        <f t="shared" si="28"/>
        <v>309</v>
      </c>
      <c r="C321" s="3">
        <f t="shared" si="29"/>
        <v>296.57688633421276</v>
      </c>
      <c r="D321" s="3">
        <f t="shared" si="24"/>
        <v>6.1423004101961047E-2</v>
      </c>
      <c r="E321" s="3">
        <f t="shared" si="25"/>
        <v>296.53606679848502</v>
      </c>
      <c r="F321" s="3">
        <f t="shared" si="26"/>
        <v>4.0819535727735001E-2</v>
      </c>
    </row>
    <row r="322" spans="1:6" x14ac:dyDescent="0.25">
      <c r="A322" s="3">
        <f t="shared" si="27"/>
        <v>310</v>
      </c>
      <c r="B322" s="3">
        <f t="shared" si="28"/>
        <v>310</v>
      </c>
      <c r="C322" s="3">
        <f t="shared" si="29"/>
        <v>296.63830933831474</v>
      </c>
      <c r="D322" s="3">
        <f t="shared" si="24"/>
        <v>6.0325549507309749E-2</v>
      </c>
      <c r="E322" s="3">
        <f t="shared" si="25"/>
        <v>296.59766715803113</v>
      </c>
      <c r="F322" s="3">
        <f t="shared" si="26"/>
        <v>4.0642180283612106E-2</v>
      </c>
    </row>
    <row r="323" spans="1:6" x14ac:dyDescent="0.25">
      <c r="A323" s="3">
        <f t="shared" si="27"/>
        <v>311</v>
      </c>
      <c r="B323" s="3">
        <f t="shared" si="28"/>
        <v>311</v>
      </c>
      <c r="C323" s="3">
        <f t="shared" si="29"/>
        <v>296.69863488782204</v>
      </c>
      <c r="D323" s="3">
        <f t="shared" si="24"/>
        <v>5.9247535515488739E-2</v>
      </c>
      <c r="E323" s="3">
        <f t="shared" si="25"/>
        <v>296.6581766963173</v>
      </c>
      <c r="F323" s="3">
        <f t="shared" si="26"/>
        <v>4.0458191504740171E-2</v>
      </c>
    </row>
    <row r="324" spans="1:6" x14ac:dyDescent="0.25">
      <c r="A324" s="3">
        <f t="shared" si="27"/>
        <v>312</v>
      </c>
      <c r="B324" s="3">
        <f t="shared" si="28"/>
        <v>312</v>
      </c>
      <c r="C324" s="3">
        <f t="shared" si="29"/>
        <v>296.75788242333755</v>
      </c>
      <c r="D324" s="3">
        <f t="shared" si="24"/>
        <v>5.8188623760834446E-2</v>
      </c>
      <c r="E324" s="3">
        <f t="shared" si="25"/>
        <v>296.71761456529418</v>
      </c>
      <c r="F324" s="3">
        <f t="shared" si="26"/>
        <v>4.0267858043364413E-2</v>
      </c>
    </row>
    <row r="325" spans="1:6" x14ac:dyDescent="0.25">
      <c r="A325" s="3">
        <f t="shared" si="27"/>
        <v>313</v>
      </c>
      <c r="B325" s="3">
        <f t="shared" si="28"/>
        <v>313</v>
      </c>
      <c r="C325" s="3">
        <f t="shared" si="29"/>
        <v>296.81607104709838</v>
      </c>
      <c r="D325" s="3">
        <f t="shared" si="24"/>
        <v>5.7148481550427628E-2</v>
      </c>
      <c r="E325" s="3">
        <f t="shared" si="25"/>
        <v>296.77599958648989</v>
      </c>
      <c r="F325" s="3">
        <f t="shared" si="26"/>
        <v>4.0071460608487541E-2</v>
      </c>
    </row>
    <row r="326" spans="1:6" x14ac:dyDescent="0.25">
      <c r="A326" s="3">
        <f t="shared" si="27"/>
        <v>314</v>
      </c>
      <c r="B326" s="3">
        <f t="shared" si="28"/>
        <v>314</v>
      </c>
      <c r="C326" s="3">
        <f t="shared" si="29"/>
        <v>296.8732195286488</v>
      </c>
      <c r="D326" s="3">
        <f t="shared" si="24"/>
        <v>5.6126781776884592E-2</v>
      </c>
      <c r="E326" s="3">
        <f t="shared" si="25"/>
        <v>296.83335025650234</v>
      </c>
      <c r="F326" s="3">
        <f t="shared" si="26"/>
        <v>3.9869272146461299E-2</v>
      </c>
    </row>
    <row r="327" spans="1:6" x14ac:dyDescent="0.25">
      <c r="A327" s="3">
        <f t="shared" si="27"/>
        <v>315</v>
      </c>
      <c r="B327" s="3">
        <f t="shared" si="28"/>
        <v>315</v>
      </c>
      <c r="C327" s="3">
        <f t="shared" si="29"/>
        <v>296.92934631042567</v>
      </c>
      <c r="D327" s="3">
        <f t="shared" si="24"/>
        <v>5.5123202832210484E-2</v>
      </c>
      <c r="E327" s="3">
        <f t="shared" si="25"/>
        <v>296.88968475240853</v>
      </c>
      <c r="F327" s="3">
        <f t="shared" si="26"/>
        <v>3.9661558017144216E-2</v>
      </c>
    </row>
    <row r="328" spans="1:6" x14ac:dyDescent="0.25">
      <c r="A328" s="3">
        <f t="shared" si="27"/>
        <v>316</v>
      </c>
      <c r="B328" s="3">
        <f t="shared" si="28"/>
        <v>316</v>
      </c>
      <c r="C328" s="3">
        <f t="shared" si="29"/>
        <v>296.98446951325786</v>
      </c>
      <c r="D328" s="3">
        <f t="shared" si="24"/>
        <v>5.4137428522692016E-2</v>
      </c>
      <c r="E328" s="3">
        <f t="shared" si="25"/>
        <v>296.94502093708951</v>
      </c>
      <c r="F328" s="3">
        <f t="shared" si="26"/>
        <v>3.9448576168354066E-2</v>
      </c>
    </row>
    <row r="329" spans="1:6" x14ac:dyDescent="0.25">
      <c r="A329" s="3">
        <f t="shared" si="27"/>
        <v>317</v>
      </c>
      <c r="B329" s="3">
        <f t="shared" si="28"/>
        <v>317</v>
      </c>
      <c r="C329" s="3">
        <f t="shared" si="29"/>
        <v>297.03860694178053</v>
      </c>
      <c r="D329" s="3">
        <f t="shared" si="24"/>
        <v>5.3169147984821093E-2</v>
      </c>
      <c r="E329" s="3">
        <f t="shared" si="25"/>
        <v>296.99937636447436</v>
      </c>
      <c r="F329" s="3">
        <f t="shared" si="26"/>
        <v>3.9230577306170744E-2</v>
      </c>
    </row>
    <row r="330" spans="1:6" x14ac:dyDescent="0.25">
      <c r="A330" s="3">
        <f t="shared" si="27"/>
        <v>318</v>
      </c>
      <c r="B330" s="3">
        <f t="shared" si="28"/>
        <v>318</v>
      </c>
      <c r="C330" s="3">
        <f t="shared" si="29"/>
        <v>297.09177608976535</v>
      </c>
      <c r="D330" s="3">
        <f t="shared" si="24"/>
        <v>5.2218055602266555E-2</v>
      </c>
      <c r="E330" s="3">
        <f t="shared" si="25"/>
        <v>297.05276828470403</v>
      </c>
      <c r="F330" s="3">
        <f t="shared" si="26"/>
        <v>3.9007805061316958E-2</v>
      </c>
    </row>
    <row r="331" spans="1:6" x14ac:dyDescent="0.25">
      <c r="A331" s="3">
        <f t="shared" si="27"/>
        <v>319</v>
      </c>
      <c r="B331" s="3">
        <f t="shared" si="28"/>
        <v>319</v>
      </c>
      <c r="C331" s="3">
        <f t="shared" si="29"/>
        <v>297.14399414536763</v>
      </c>
      <c r="D331" s="3">
        <f t="shared" si="24"/>
        <v>5.1283850923880374E-2</v>
      </c>
      <c r="E331" s="3">
        <f t="shared" si="25"/>
        <v>297.10521364921368</v>
      </c>
      <c r="F331" s="3">
        <f t="shared" si="26"/>
        <v>3.8780496153947297E-2</v>
      </c>
    </row>
    <row r="332" spans="1:6" x14ac:dyDescent="0.25">
      <c r="A332" s="3">
        <f t="shared" si="27"/>
        <v>320</v>
      </c>
      <c r="B332" s="3">
        <f t="shared" si="28"/>
        <v>320</v>
      </c>
      <c r="C332" s="3">
        <f t="shared" si="29"/>
        <v>297.19527799629151</v>
      </c>
      <c r="D332" s="3">
        <f t="shared" ref="D332:D395" si="30">$B$3*C332^(3/4)*(1-(C332/$B$4)^(1/4))</f>
        <v>5.0366238582737428E-2</v>
      </c>
      <c r="E332" s="3">
        <f t="shared" ref="E332:E395" si="31">( $B$8 + ($B$9-$B$8)*EXP(-$B$3*B332/(4*$B$8)) )^4</f>
        <v>297.15672911573921</v>
      </c>
      <c r="F332" s="3">
        <f t="shared" ref="F332:F395" si="32">ABS(C332-E332)</f>
        <v>3.8548880552298215E-2</v>
      </c>
    </row>
    <row r="333" spans="1:6" x14ac:dyDescent="0.25">
      <c r="A333" s="3">
        <f t="shared" ref="A333:A396" si="33">A332+1</f>
        <v>321</v>
      </c>
      <c r="B333" s="3">
        <f t="shared" ref="B333:B396" si="34">B332+$B$6</f>
        <v>321</v>
      </c>
      <c r="C333" s="3">
        <f t="shared" ref="C333:C396" si="35">C332+$B$6*D332</f>
        <v>297.24564423487425</v>
      </c>
      <c r="D333" s="3">
        <f t="shared" si="30"/>
        <v>4.9464928216211151E-2</v>
      </c>
      <c r="E333" s="3">
        <f t="shared" si="31"/>
        <v>297.20733105324172</v>
      </c>
      <c r="F333" s="3">
        <f t="shared" si="32"/>
        <v>3.8313181632531723E-2</v>
      </c>
    </row>
    <row r="334" spans="1:6" x14ac:dyDescent="0.25">
      <c r="A334" s="3">
        <f t="shared" si="33"/>
        <v>322</v>
      </c>
      <c r="B334" s="3">
        <f t="shared" si="34"/>
        <v>322</v>
      </c>
      <c r="C334" s="3">
        <f t="shared" si="35"/>
        <v>297.29510916309044</v>
      </c>
      <c r="D334" s="3">
        <f t="shared" si="30"/>
        <v>4.8579634387074487E-2</v>
      </c>
      <c r="E334" s="3">
        <f t="shared" si="31"/>
        <v>297.25703554675988</v>
      </c>
      <c r="F334" s="3">
        <f t="shared" si="32"/>
        <v>3.8073616330564164E-2</v>
      </c>
    </row>
    <row r="335" spans="1:6" x14ac:dyDescent="0.25">
      <c r="A335" s="3">
        <f t="shared" si="33"/>
        <v>323</v>
      </c>
      <c r="B335" s="3">
        <f t="shared" si="34"/>
        <v>323</v>
      </c>
      <c r="C335" s="3">
        <f t="shared" si="35"/>
        <v>297.34368879747751</v>
      </c>
      <c r="D335" s="3">
        <f t="shared" si="30"/>
        <v>4.7710076505613562E-2</v>
      </c>
      <c r="E335" s="3">
        <f t="shared" si="31"/>
        <v>297.30585840218259</v>
      </c>
      <c r="F335" s="3">
        <f t="shared" si="32"/>
        <v>3.7830395294918162E-2</v>
      </c>
    </row>
    <row r="336" spans="1:6" x14ac:dyDescent="0.25">
      <c r="A336" s="3">
        <f t="shared" si="33"/>
        <v>324</v>
      </c>
      <c r="B336" s="3">
        <f t="shared" si="34"/>
        <v>324</v>
      </c>
      <c r="C336" s="3">
        <f t="shared" si="35"/>
        <v>297.39139887398312</v>
      </c>
      <c r="D336" s="3">
        <f t="shared" si="30"/>
        <v>4.6855978752791627E-2</v>
      </c>
      <c r="E336" s="3">
        <f t="shared" si="31"/>
        <v>297.35381515094929</v>
      </c>
      <c r="F336" s="3">
        <f t="shared" si="32"/>
        <v>3.7583723033833394E-2</v>
      </c>
    </row>
    <row r="337" spans="1:6" x14ac:dyDescent="0.25">
      <c r="A337" s="3">
        <f t="shared" si="33"/>
        <v>325</v>
      </c>
      <c r="B337" s="3">
        <f t="shared" si="34"/>
        <v>325</v>
      </c>
      <c r="C337" s="3">
        <f t="shared" si="35"/>
        <v>297.43825485273589</v>
      </c>
      <c r="D337" s="3">
        <f t="shared" si="30"/>
        <v>4.6017070004386082E-2</v>
      </c>
      <c r="E337" s="3">
        <f t="shared" si="31"/>
        <v>297.40092105467448</v>
      </c>
      <c r="F337" s="3">
        <f t="shared" si="32"/>
        <v>3.7333798061411017E-2</v>
      </c>
    </row>
    <row r="338" spans="1:6" x14ac:dyDescent="0.25">
      <c r="A338" s="3">
        <f t="shared" si="33"/>
        <v>326</v>
      </c>
      <c r="B338" s="3">
        <f t="shared" si="34"/>
        <v>326</v>
      </c>
      <c r="C338" s="3">
        <f t="shared" si="35"/>
        <v>297.48427192274028</v>
      </c>
      <c r="D338" s="3">
        <f t="shared" si="30"/>
        <v>4.5193083756165327E-2</v>
      </c>
      <c r="E338" s="3">
        <f t="shared" si="31"/>
        <v>297.44719110970141</v>
      </c>
      <c r="F338" s="3">
        <f t="shared" si="32"/>
        <v>3.7080813038869564E-2</v>
      </c>
    </row>
    <row r="339" spans="1:6" x14ac:dyDescent="0.25">
      <c r="A339" s="3">
        <f t="shared" si="33"/>
        <v>327</v>
      </c>
      <c r="B339" s="3">
        <f t="shared" si="34"/>
        <v>327</v>
      </c>
      <c r="C339" s="3">
        <f t="shared" si="35"/>
        <v>297.52946500649642</v>
      </c>
      <c r="D339" s="3">
        <f t="shared" si="30"/>
        <v>4.4383758050064531E-2</v>
      </c>
      <c r="E339" s="3">
        <f t="shared" si="31"/>
        <v>297.49264005158238</v>
      </c>
      <c r="F339" s="3">
        <f t="shared" si="32"/>
        <v>3.6824954914038699E-2</v>
      </c>
    </row>
    <row r="340" spans="1:6" x14ac:dyDescent="0.25">
      <c r="A340" s="3">
        <f t="shared" si="33"/>
        <v>328</v>
      </c>
      <c r="B340" s="3">
        <f t="shared" si="34"/>
        <v>328</v>
      </c>
      <c r="C340" s="3">
        <f t="shared" si="35"/>
        <v>297.57384876454648</v>
      </c>
      <c r="D340" s="3">
        <f t="shared" si="30"/>
        <v>4.3588835401344679E-2</v>
      </c>
      <c r="E340" s="3">
        <f t="shared" si="31"/>
        <v>297.53728235948779</v>
      </c>
      <c r="F340" s="3">
        <f t="shared" si="32"/>
        <v>3.6566405058692908E-2</v>
      </c>
    </row>
    <row r="341" spans="1:6" x14ac:dyDescent="0.25">
      <c r="A341" s="3">
        <f t="shared" si="33"/>
        <v>329</v>
      </c>
      <c r="B341" s="3">
        <f t="shared" si="34"/>
        <v>329</v>
      </c>
      <c r="C341" s="3">
        <f t="shared" si="35"/>
        <v>297.61743759994783</v>
      </c>
      <c r="D341" s="3">
        <f t="shared" si="30"/>
        <v>4.2808062726750716E-2</v>
      </c>
      <c r="E341" s="3">
        <f t="shared" si="31"/>
        <v>297.58113226054712</v>
      </c>
      <c r="F341" s="3">
        <f t="shared" si="32"/>
        <v>3.6305339400712455E-2</v>
      </c>
    </row>
    <row r="342" spans="1:6" x14ac:dyDescent="0.25">
      <c r="A342" s="3">
        <f t="shared" si="33"/>
        <v>330</v>
      </c>
      <c r="B342" s="3">
        <f t="shared" si="34"/>
        <v>330</v>
      </c>
      <c r="C342" s="3">
        <f t="shared" si="35"/>
        <v>297.66024566267458</v>
      </c>
      <c r="D342" s="3">
        <f t="shared" si="30"/>
        <v>4.2041191273667337E-2</v>
      </c>
      <c r="E342" s="3">
        <f t="shared" si="31"/>
        <v>297.62420373411732</v>
      </c>
      <c r="F342" s="3">
        <f t="shared" si="32"/>
        <v>3.6041928557267511E-2</v>
      </c>
    </row>
    <row r="343" spans="1:6" x14ac:dyDescent="0.25">
      <c r="A343" s="3">
        <f t="shared" si="33"/>
        <v>331</v>
      </c>
      <c r="B343" s="3">
        <f t="shared" si="34"/>
        <v>331</v>
      </c>
      <c r="C343" s="3">
        <f t="shared" si="35"/>
        <v>297.70228685394824</v>
      </c>
      <c r="D343" s="3">
        <f t="shared" si="30"/>
        <v>4.1287976550235521E-2</v>
      </c>
      <c r="E343" s="3">
        <f t="shared" si="31"/>
        <v>297.66651051598762</v>
      </c>
      <c r="F343" s="3">
        <f t="shared" si="32"/>
        <v>3.5776337960612636E-2</v>
      </c>
    </row>
    <row r="344" spans="1:6" x14ac:dyDescent="0.25">
      <c r="A344" s="3">
        <f t="shared" si="33"/>
        <v>332</v>
      </c>
      <c r="B344" s="3">
        <f t="shared" si="34"/>
        <v>332</v>
      </c>
      <c r="C344" s="3">
        <f t="shared" si="35"/>
        <v>297.74357483049846</v>
      </c>
      <c r="D344" s="3">
        <f t="shared" si="30"/>
        <v>4.0548178256437667E-2</v>
      </c>
      <c r="E344" s="3">
        <f t="shared" si="31"/>
        <v>297.70806610251265</v>
      </c>
      <c r="F344" s="3">
        <f t="shared" si="32"/>
        <v>3.5508727985813948E-2</v>
      </c>
    </row>
    <row r="345" spans="1:6" x14ac:dyDescent="0.25">
      <c r="A345" s="3">
        <f t="shared" si="33"/>
        <v>333</v>
      </c>
      <c r="B345" s="3">
        <f t="shared" si="34"/>
        <v>333</v>
      </c>
      <c r="C345" s="3">
        <f t="shared" si="35"/>
        <v>297.78412300875488</v>
      </c>
      <c r="D345" s="3">
        <f t="shared" si="30"/>
        <v>3.9821560216161386E-2</v>
      </c>
      <c r="E345" s="3">
        <f t="shared" si="31"/>
        <v>297.74888375468333</v>
      </c>
      <c r="F345" s="3">
        <f t="shared" si="32"/>
        <v>3.5239254071541382E-2</v>
      </c>
    </row>
    <row r="346" spans="1:6" x14ac:dyDescent="0.25">
      <c r="A346" s="3">
        <f t="shared" si="33"/>
        <v>334</v>
      </c>
      <c r="B346" s="3">
        <f t="shared" si="34"/>
        <v>334</v>
      </c>
      <c r="C346" s="3">
        <f t="shared" si="35"/>
        <v>297.82394456897106</v>
      </c>
      <c r="D346" s="3">
        <f t="shared" si="30"/>
        <v>3.9107890310210065E-2</v>
      </c>
      <c r="E346" s="3">
        <f t="shared" si="31"/>
        <v>297.78897650212781</v>
      </c>
      <c r="F346" s="3">
        <f t="shared" si="32"/>
        <v>3.496806684324838E-2</v>
      </c>
    </row>
    <row r="347" spans="1:6" x14ac:dyDescent="0.25">
      <c r="A347" s="3">
        <f t="shared" si="33"/>
        <v>335</v>
      </c>
      <c r="B347" s="3">
        <f t="shared" si="34"/>
        <v>335</v>
      </c>
      <c r="C347" s="3">
        <f t="shared" si="35"/>
        <v>297.86305245928128</v>
      </c>
      <c r="D347" s="3">
        <f t="shared" si="30"/>
        <v>3.8406940410265537E-2</v>
      </c>
      <c r="E347" s="3">
        <f t="shared" si="31"/>
        <v>297.82835714705277</v>
      </c>
      <c r="F347" s="3">
        <f t="shared" si="32"/>
        <v>3.4695312228507191E-2</v>
      </c>
    </row>
    <row r="348" spans="1:6" x14ac:dyDescent="0.25">
      <c r="A348" s="3">
        <f t="shared" si="33"/>
        <v>336</v>
      </c>
      <c r="B348" s="3">
        <f t="shared" si="34"/>
        <v>336</v>
      </c>
      <c r="C348" s="3">
        <f t="shared" si="35"/>
        <v>297.90145939969153</v>
      </c>
      <c r="D348" s="3">
        <f t="shared" si="30"/>
        <v>3.7718486313780109E-2</v>
      </c>
      <c r="E348" s="3">
        <f t="shared" si="31"/>
        <v>297.8670382681176</v>
      </c>
      <c r="F348" s="3">
        <f t="shared" si="32"/>
        <v>3.4421131573935781E-2</v>
      </c>
    </row>
    <row r="349" spans="1:6" x14ac:dyDescent="0.25">
      <c r="A349" s="3">
        <f t="shared" si="33"/>
        <v>337</v>
      </c>
      <c r="B349" s="3">
        <f t="shared" si="34"/>
        <v>337</v>
      </c>
      <c r="C349" s="3">
        <f t="shared" si="35"/>
        <v>297.93917788600533</v>
      </c>
      <c r="D349" s="3">
        <f t="shared" si="30"/>
        <v>3.7042307679816824E-2</v>
      </c>
      <c r="E349" s="3">
        <f t="shared" si="31"/>
        <v>297.90503222424815</v>
      </c>
      <c r="F349" s="3">
        <f t="shared" si="32"/>
        <v>3.4145661757179369E-2</v>
      </c>
    </row>
    <row r="350" spans="1:6" x14ac:dyDescent="0.25">
      <c r="A350" s="3">
        <f t="shared" si="33"/>
        <v>338</v>
      </c>
      <c r="B350" s="3">
        <f t="shared" si="34"/>
        <v>338</v>
      </c>
      <c r="C350" s="3">
        <f t="shared" si="35"/>
        <v>297.97622019368515</v>
      </c>
      <c r="D350" s="3">
        <f t="shared" si="30"/>
        <v>3.637818796579538E-2</v>
      </c>
      <c r="E350" s="3">
        <f t="shared" si="31"/>
        <v>297.94235115838609</v>
      </c>
      <c r="F350" s="3">
        <f t="shared" si="32"/>
        <v>3.3869035299062489E-2</v>
      </c>
    </row>
    <row r="351" spans="1:6" x14ac:dyDescent="0.25">
      <c r="A351" s="3">
        <f t="shared" si="33"/>
        <v>339</v>
      </c>
      <c r="B351" s="3">
        <f t="shared" si="34"/>
        <v>339</v>
      </c>
      <c r="C351" s="3">
        <f t="shared" si="35"/>
        <v>298.01259838165095</v>
      </c>
      <c r="D351" s="3">
        <f t="shared" si="30"/>
        <v>3.5725914365177219E-2</v>
      </c>
      <c r="E351" s="3">
        <f t="shared" si="31"/>
        <v>297.97900700118169</v>
      </c>
      <c r="F351" s="3">
        <f t="shared" si="32"/>
        <v>3.3591380469260912E-2</v>
      </c>
    </row>
    <row r="352" spans="1:6" x14ac:dyDescent="0.25">
      <c r="A352" s="3">
        <f t="shared" si="33"/>
        <v>340</v>
      </c>
      <c r="B352" s="3">
        <f t="shared" si="34"/>
        <v>340</v>
      </c>
      <c r="C352" s="3">
        <f t="shared" si="35"/>
        <v>298.04832429601612</v>
      </c>
      <c r="D352" s="3">
        <f t="shared" si="30"/>
        <v>3.5085277746024372E-2</v>
      </c>
      <c r="E352" s="3">
        <f t="shared" si="31"/>
        <v>298.01501147462045</v>
      </c>
      <c r="F352" s="3">
        <f t="shared" si="32"/>
        <v>3.3312821395668379E-2</v>
      </c>
    </row>
    <row r="353" spans="1:6" x14ac:dyDescent="0.25">
      <c r="A353" s="3">
        <f t="shared" si="33"/>
        <v>341</v>
      </c>
      <c r="B353" s="3">
        <f t="shared" si="34"/>
        <v>341</v>
      </c>
      <c r="C353" s="3">
        <f t="shared" si="35"/>
        <v>298.08340957376214</v>
      </c>
      <c r="D353" s="3">
        <f t="shared" si="30"/>
        <v>3.4456072590492194E-2</v>
      </c>
      <c r="E353" s="3">
        <f t="shared" si="31"/>
        <v>298.05037609559781</v>
      </c>
      <c r="F353" s="3">
        <f t="shared" si="32"/>
        <v>3.3033478164327335E-2</v>
      </c>
    </row>
    <row r="354" spans="1:6" x14ac:dyDescent="0.25">
      <c r="A354" s="3">
        <f t="shared" si="33"/>
        <v>342</v>
      </c>
      <c r="B354" s="3">
        <f t="shared" si="34"/>
        <v>342</v>
      </c>
      <c r="C354" s="3">
        <f t="shared" si="35"/>
        <v>298.11786564635264</v>
      </c>
      <c r="D354" s="3">
        <f t="shared" si="30"/>
        <v>3.3838096935178676E-2</v>
      </c>
      <c r="E354" s="3">
        <f t="shared" si="31"/>
        <v>298.08511217942907</v>
      </c>
      <c r="F354" s="3">
        <f t="shared" si="32"/>
        <v>3.2753466923566066E-2</v>
      </c>
    </row>
    <row r="355" spans="1:6" x14ac:dyDescent="0.25">
      <c r="A355" s="3">
        <f t="shared" si="33"/>
        <v>343</v>
      </c>
      <c r="B355" s="3">
        <f t="shared" si="34"/>
        <v>343</v>
      </c>
      <c r="C355" s="3">
        <f t="shared" si="35"/>
        <v>298.15170374328784</v>
      </c>
      <c r="D355" s="3">
        <f t="shared" si="30"/>
        <v>3.3231152312378859E-2</v>
      </c>
      <c r="E355" s="3">
        <f t="shared" si="31"/>
        <v>298.11923084330522</v>
      </c>
      <c r="F355" s="3">
        <f t="shared" si="32"/>
        <v>3.2472899982622039E-2</v>
      </c>
    </row>
    <row r="356" spans="1:6" x14ac:dyDescent="0.25">
      <c r="A356" s="3">
        <f t="shared" si="33"/>
        <v>344</v>
      </c>
      <c r="B356" s="3">
        <f t="shared" si="34"/>
        <v>344</v>
      </c>
      <c r="C356" s="3">
        <f t="shared" si="35"/>
        <v>298.18493489560024</v>
      </c>
      <c r="D356" s="3">
        <f t="shared" si="30"/>
        <v>3.2635043692198107E-2</v>
      </c>
      <c r="E356" s="3">
        <f t="shared" si="31"/>
        <v>298.15274300969287</v>
      </c>
      <c r="F356" s="3">
        <f t="shared" si="32"/>
        <v>3.2191885907366213E-2</v>
      </c>
    </row>
    <row r="357" spans="1:6" x14ac:dyDescent="0.25">
      <c r="A357" s="3">
        <f t="shared" si="33"/>
        <v>345</v>
      </c>
      <c r="B357" s="3">
        <f t="shared" si="34"/>
        <v>345</v>
      </c>
      <c r="C357" s="3">
        <f t="shared" si="35"/>
        <v>298.21756993929245</v>
      </c>
      <c r="D357" s="3">
        <f t="shared" si="30"/>
        <v>3.2049579425522723E-2</v>
      </c>
      <c r="E357" s="3">
        <f t="shared" si="31"/>
        <v>298.18565940967522</v>
      </c>
      <c r="F357" s="3">
        <f t="shared" si="32"/>
        <v>3.1910529617221073E-2</v>
      </c>
    </row>
    <row r="358" spans="1:6" x14ac:dyDescent="0.25">
      <c r="A358" s="3">
        <f t="shared" si="33"/>
        <v>346</v>
      </c>
      <c r="B358" s="3">
        <f t="shared" si="34"/>
        <v>346</v>
      </c>
      <c r="C358" s="3">
        <f t="shared" si="35"/>
        <v>298.24961951871796</v>
      </c>
      <c r="D358" s="3">
        <f t="shared" si="30"/>
        <v>3.1474571187861546E-2</v>
      </c>
      <c r="E358" s="3">
        <f t="shared" si="31"/>
        <v>298.21799058624117</v>
      </c>
      <c r="F358" s="3">
        <f t="shared" si="32"/>
        <v>3.1628932476792215E-2</v>
      </c>
    </row>
    <row r="359" spans="1:6" x14ac:dyDescent="0.25">
      <c r="A359" s="3">
        <f t="shared" si="33"/>
        <v>347</v>
      </c>
      <c r="B359" s="3">
        <f t="shared" si="34"/>
        <v>347</v>
      </c>
      <c r="C359" s="3">
        <f t="shared" si="35"/>
        <v>298.28109408990582</v>
      </c>
      <c r="D359" s="3">
        <f t="shared" si="30"/>
        <v>3.090983392401038E-2</v>
      </c>
      <c r="E359" s="3">
        <f t="shared" si="31"/>
        <v>298.24974689751866</v>
      </c>
      <c r="F359" s="3">
        <f t="shared" si="32"/>
        <v>3.1347192387158884E-2</v>
      </c>
    </row>
    <row r="360" spans="1:6" x14ac:dyDescent="0.25">
      <c r="A360" s="3">
        <f t="shared" si="33"/>
        <v>348</v>
      </c>
      <c r="B360" s="3">
        <f t="shared" si="34"/>
        <v>348</v>
      </c>
      <c r="C360" s="3">
        <f t="shared" si="35"/>
        <v>298.31200392382982</v>
      </c>
      <c r="D360" s="3">
        <f t="shared" si="30"/>
        <v>3.0355185793568183E-2</v>
      </c>
      <c r="E360" s="3">
        <f t="shared" si="31"/>
        <v>298.28093851995476</v>
      </c>
      <c r="F360" s="3">
        <f t="shared" si="32"/>
        <v>3.1065403875061293E-2</v>
      </c>
    </row>
    <row r="361" spans="1:6" x14ac:dyDescent="0.25">
      <c r="A361" s="3">
        <f t="shared" si="33"/>
        <v>349</v>
      </c>
      <c r="B361" s="3">
        <f t="shared" si="34"/>
        <v>349</v>
      </c>
      <c r="C361" s="3">
        <f t="shared" si="35"/>
        <v>298.34235910962337</v>
      </c>
      <c r="D361" s="3">
        <f t="shared" si="30"/>
        <v>2.9810448117266419E-2</v>
      </c>
      <c r="E361" s="3">
        <f t="shared" si="31"/>
        <v>298.31157545144464</v>
      </c>
      <c r="F361" s="3">
        <f t="shared" si="32"/>
        <v>3.0783658178734186E-2</v>
      </c>
    </row>
    <row r="362" spans="1:6" x14ac:dyDescent="0.25">
      <c r="A362" s="3">
        <f t="shared" si="33"/>
        <v>350</v>
      </c>
      <c r="B362" s="3">
        <f t="shared" si="34"/>
        <v>350</v>
      </c>
      <c r="C362" s="3">
        <f t="shared" si="35"/>
        <v>298.37216955774062</v>
      </c>
      <c r="D362" s="3">
        <f t="shared" si="30"/>
        <v>2.9275445324112883E-2</v>
      </c>
      <c r="E362" s="3">
        <f t="shared" si="31"/>
        <v>298.34166751440654</v>
      </c>
      <c r="F362" s="3">
        <f t="shared" si="32"/>
        <v>3.0502043334081463E-2</v>
      </c>
    </row>
    <row r="363" spans="1:6" x14ac:dyDescent="0.25">
      <c r="A363" s="3">
        <f t="shared" si="33"/>
        <v>351</v>
      </c>
      <c r="B363" s="3">
        <f t="shared" si="34"/>
        <v>351</v>
      </c>
      <c r="C363" s="3">
        <f t="shared" si="35"/>
        <v>298.40144500306474</v>
      </c>
      <c r="D363" s="3">
        <f t="shared" si="30"/>
        <v>2.87500048993631E-2</v>
      </c>
      <c r="E363" s="3">
        <f t="shared" si="31"/>
        <v>298.37122435880713</v>
      </c>
      <c r="F363" s="3">
        <f t="shared" si="32"/>
        <v>3.0220644257610729E-2</v>
      </c>
    </row>
    <row r="364" spans="1:6" x14ac:dyDescent="0.25">
      <c r="A364" s="3">
        <f t="shared" si="33"/>
        <v>352</v>
      </c>
      <c r="B364" s="3">
        <f t="shared" si="34"/>
        <v>352</v>
      </c>
      <c r="C364" s="3">
        <f t="shared" si="35"/>
        <v>298.43019500796407</v>
      </c>
      <c r="D364" s="3">
        <f t="shared" si="30"/>
        <v>2.8233957333262776E-2</v>
      </c>
      <c r="E364" s="3">
        <f t="shared" si="31"/>
        <v>298.40025546513726</v>
      </c>
      <c r="F364" s="3">
        <f t="shared" si="32"/>
        <v>2.9939542826809884E-2</v>
      </c>
    </row>
    <row r="365" spans="1:6" x14ac:dyDescent="0.25">
      <c r="A365" s="3">
        <f t="shared" si="33"/>
        <v>353</v>
      </c>
      <c r="B365" s="3">
        <f t="shared" si="34"/>
        <v>353</v>
      </c>
      <c r="C365" s="3">
        <f t="shared" si="35"/>
        <v>298.45842896529734</v>
      </c>
      <c r="D365" s="3">
        <f t="shared" si="30"/>
        <v>2.7727136070585599E-2</v>
      </c>
      <c r="E365" s="3">
        <f t="shared" si="31"/>
        <v>298.42877014733648</v>
      </c>
      <c r="F365" s="3">
        <f t="shared" si="32"/>
        <v>2.9658817960864781E-2</v>
      </c>
    </row>
    <row r="366" spans="1:6" x14ac:dyDescent="0.25">
      <c r="A366" s="3">
        <f t="shared" si="33"/>
        <v>354</v>
      </c>
      <c r="B366" s="3">
        <f t="shared" si="34"/>
        <v>354</v>
      </c>
      <c r="C366" s="3">
        <f t="shared" si="35"/>
        <v>298.48615610136795</v>
      </c>
      <c r="D366" s="3">
        <f t="shared" si="30"/>
        <v>2.7229377460961594E-2</v>
      </c>
      <c r="E366" s="3">
        <f t="shared" si="31"/>
        <v>298.45677755567124</v>
      </c>
      <c r="F366" s="3">
        <f t="shared" si="32"/>
        <v>2.9378545696715719E-2</v>
      </c>
    </row>
    <row r="367" spans="1:6" x14ac:dyDescent="0.25">
      <c r="A367" s="3">
        <f t="shared" si="33"/>
        <v>355</v>
      </c>
      <c r="B367" s="3">
        <f t="shared" si="34"/>
        <v>355</v>
      </c>
      <c r="C367" s="3">
        <f t="shared" si="35"/>
        <v>298.51338547882892</v>
      </c>
      <c r="D367" s="3">
        <f t="shared" si="30"/>
        <v>2.6740520709962044E-2</v>
      </c>
      <c r="E367" s="3">
        <f t="shared" si="31"/>
        <v>298.48428667956154</v>
      </c>
      <c r="F367" s="3">
        <f t="shared" si="32"/>
        <v>2.9098799267387676E-2</v>
      </c>
    </row>
    <row r="368" spans="1:6" x14ac:dyDescent="0.25">
      <c r="A368" s="3">
        <f t="shared" si="33"/>
        <v>356</v>
      </c>
      <c r="B368" s="3">
        <f t="shared" si="34"/>
        <v>356</v>
      </c>
      <c r="C368" s="3">
        <f t="shared" si="35"/>
        <v>298.54012599953887</v>
      </c>
      <c r="D368" s="3">
        <f t="shared" si="30"/>
        <v>2.6260407830943151E-2</v>
      </c>
      <c r="E368" s="3">
        <f t="shared" si="31"/>
        <v>298.51130635036543</v>
      </c>
      <c r="F368" s="3">
        <f t="shared" si="32"/>
        <v>2.8819649173442485E-2</v>
      </c>
    </row>
    <row r="369" spans="1:6" x14ac:dyDescent="0.25">
      <c r="A369" s="3">
        <f t="shared" si="33"/>
        <v>357</v>
      </c>
      <c r="B369" s="3">
        <f t="shared" si="34"/>
        <v>357</v>
      </c>
      <c r="C369" s="3">
        <f t="shared" si="35"/>
        <v>298.56638640736981</v>
      </c>
      <c r="D369" s="3">
        <f t="shared" si="30"/>
        <v>2.5788883597647229E-2</v>
      </c>
      <c r="E369" s="3">
        <f t="shared" si="31"/>
        <v>298.53784524411253</v>
      </c>
      <c r="F369" s="3">
        <f t="shared" si="32"/>
        <v>2.8541163257273183E-2</v>
      </c>
    </row>
    <row r="370" spans="1:6" x14ac:dyDescent="0.25">
      <c r="A370" s="3">
        <f t="shared" si="33"/>
        <v>358</v>
      </c>
      <c r="B370" s="3">
        <f t="shared" si="34"/>
        <v>358</v>
      </c>
      <c r="C370" s="3">
        <f t="shared" si="35"/>
        <v>298.59217529096748</v>
      </c>
      <c r="D370" s="3">
        <f t="shared" si="30"/>
        <v>2.5325795497540916E-2</v>
      </c>
      <c r="E370" s="3">
        <f t="shared" si="31"/>
        <v>298.56391188419332</v>
      </c>
      <c r="F370" s="3">
        <f t="shared" si="32"/>
        <v>2.8263406774158284E-2</v>
      </c>
    </row>
    <row r="371" spans="1:6" x14ac:dyDescent="0.25">
      <c r="A371" s="3">
        <f t="shared" si="33"/>
        <v>359</v>
      </c>
      <c r="B371" s="3">
        <f t="shared" si="34"/>
        <v>359</v>
      </c>
      <c r="C371" s="3">
        <f t="shared" si="35"/>
        <v>298.61750108646504</v>
      </c>
      <c r="D371" s="3">
        <f t="shared" si="30"/>
        <v>2.4870993685882102E-2</v>
      </c>
      <c r="E371" s="3">
        <f t="shared" si="31"/>
        <v>298.58951464400496</v>
      </c>
      <c r="F371" s="3">
        <f t="shared" si="32"/>
        <v>2.7986442460075978E-2</v>
      </c>
    </row>
    <row r="372" spans="1:6" x14ac:dyDescent="0.25">
      <c r="A372" s="3">
        <f t="shared" si="33"/>
        <v>360</v>
      </c>
      <c r="B372" s="3">
        <f t="shared" si="34"/>
        <v>360</v>
      </c>
      <c r="C372" s="3">
        <f t="shared" si="35"/>
        <v>298.64237208015095</v>
      </c>
      <c r="D372" s="3">
        <f t="shared" si="30"/>
        <v>2.4424330940522748E-2</v>
      </c>
      <c r="E372" s="3">
        <f t="shared" si="31"/>
        <v>298.6146617495499</v>
      </c>
      <c r="F372" s="3">
        <f t="shared" si="32"/>
        <v>2.7710330601053101E-2</v>
      </c>
    </row>
    <row r="373" spans="1:6" x14ac:dyDescent="0.25">
      <c r="A373" s="3">
        <f t="shared" si="33"/>
        <v>361</v>
      </c>
      <c r="B373" s="3">
        <f t="shared" si="34"/>
        <v>361</v>
      </c>
      <c r="C373" s="3">
        <f t="shared" si="35"/>
        <v>298.66679641109147</v>
      </c>
      <c r="D373" s="3">
        <f t="shared" si="30"/>
        <v>2.3985662617398252E-2</v>
      </c>
      <c r="E373" s="3">
        <f t="shared" si="31"/>
        <v>298.63936128199327</v>
      </c>
      <c r="F373" s="3">
        <f t="shared" si="32"/>
        <v>2.7435129098194011E-2</v>
      </c>
    </row>
    <row r="374" spans="1:6" x14ac:dyDescent="0.25">
      <c r="A374" s="3">
        <f t="shared" si="33"/>
        <v>362</v>
      </c>
      <c r="B374" s="3">
        <f t="shared" si="34"/>
        <v>362</v>
      </c>
      <c r="C374" s="3">
        <f t="shared" si="35"/>
        <v>298.69078207370887</v>
      </c>
      <c r="D374" s="3">
        <f t="shared" si="30"/>
        <v>2.3554846606745866E-2</v>
      </c>
      <c r="E374" s="3">
        <f t="shared" si="31"/>
        <v>298.66362118017599</v>
      </c>
      <c r="F374" s="3">
        <f t="shared" si="32"/>
        <v>2.7160893532879982E-2</v>
      </c>
    </row>
    <row r="375" spans="1:6" x14ac:dyDescent="0.25">
      <c r="A375" s="3">
        <f t="shared" si="33"/>
        <v>363</v>
      </c>
      <c r="B375" s="3">
        <f t="shared" si="34"/>
        <v>363</v>
      </c>
      <c r="C375" s="3">
        <f t="shared" si="35"/>
        <v>298.71433692031565</v>
      </c>
      <c r="D375" s="3">
        <f t="shared" si="30"/>
        <v>2.3131743290006931E-2</v>
      </c>
      <c r="E375" s="3">
        <f t="shared" si="31"/>
        <v>298.68744924308567</v>
      </c>
      <c r="F375" s="3">
        <f t="shared" si="32"/>
        <v>2.688767722997909E-2</v>
      </c>
    </row>
    <row r="376" spans="1:6" x14ac:dyDescent="0.25">
      <c r="A376" s="3">
        <f t="shared" si="33"/>
        <v>364</v>
      </c>
      <c r="B376" s="3">
        <f t="shared" si="34"/>
        <v>364</v>
      </c>
      <c r="C376" s="3">
        <f t="shared" si="35"/>
        <v>298.73746866360563</v>
      </c>
      <c r="D376" s="3">
        <f t="shared" si="30"/>
        <v>2.2716215497412172E-2</v>
      </c>
      <c r="E376" s="3">
        <f t="shared" si="31"/>
        <v>298.71085313228696</v>
      </c>
      <c r="F376" s="3">
        <f t="shared" si="32"/>
        <v>2.6615531318668673E-2</v>
      </c>
    </row>
    <row r="377" spans="1:6" x14ac:dyDescent="0.25">
      <c r="A377" s="3">
        <f t="shared" si="33"/>
        <v>365</v>
      </c>
      <c r="B377" s="3">
        <f t="shared" si="34"/>
        <v>365</v>
      </c>
      <c r="C377" s="3">
        <f t="shared" si="35"/>
        <v>298.76018487910306</v>
      </c>
      <c r="D377" s="3">
        <f t="shared" si="30"/>
        <v>2.2308128466244692E-2</v>
      </c>
      <c r="E377" s="3">
        <f t="shared" si="31"/>
        <v>298.73384037430947</v>
      </c>
      <c r="F377" s="3">
        <f t="shared" si="32"/>
        <v>2.6344504793598844E-2</v>
      </c>
    </row>
    <row r="378" spans="1:6" x14ac:dyDescent="0.25">
      <c r="A378" s="3">
        <f t="shared" si="33"/>
        <v>366</v>
      </c>
      <c r="B378" s="3">
        <f t="shared" si="34"/>
        <v>366</v>
      </c>
      <c r="C378" s="3">
        <f t="shared" si="35"/>
        <v>298.78249300756931</v>
      </c>
      <c r="D378" s="3">
        <f t="shared" si="30"/>
        <v>2.1907349799781966E-2</v>
      </c>
      <c r="E378" s="3">
        <f t="shared" si="31"/>
        <v>298.75641836299474</v>
      </c>
      <c r="F378" s="3">
        <f t="shared" si="32"/>
        <v>2.6074644574578087E-2</v>
      </c>
    </row>
    <row r="379" spans="1:6" x14ac:dyDescent="0.25">
      <c r="A379" s="3">
        <f t="shared" si="33"/>
        <v>367</v>
      </c>
      <c r="B379" s="3">
        <f t="shared" si="34"/>
        <v>367</v>
      </c>
      <c r="C379" s="3">
        <f t="shared" si="35"/>
        <v>298.8044003573691</v>
      </c>
      <c r="D379" s="3">
        <f t="shared" si="30"/>
        <v>2.1513749426875194E-2</v>
      </c>
      <c r="E379" s="3">
        <f t="shared" si="31"/>
        <v>298.77859436180785</v>
      </c>
      <c r="F379" s="3">
        <f t="shared" si="32"/>
        <v>2.5805995561256623E-2</v>
      </c>
    </row>
    <row r="380" spans="1:6" x14ac:dyDescent="0.25">
      <c r="A380" s="3">
        <f t="shared" si="33"/>
        <v>368</v>
      </c>
      <c r="B380" s="3">
        <f t="shared" si="34"/>
        <v>368</v>
      </c>
      <c r="C380" s="3">
        <f t="shared" si="35"/>
        <v>298.82591410679601</v>
      </c>
      <c r="D380" s="3">
        <f t="shared" si="30"/>
        <v>2.1127199562186033E-2</v>
      </c>
      <c r="E380" s="3">
        <f t="shared" si="31"/>
        <v>298.80037550610353</v>
      </c>
      <c r="F380" s="3">
        <f t="shared" si="32"/>
        <v>2.5538600692470936E-2</v>
      </c>
    </row>
    <row r="381" spans="1:6" x14ac:dyDescent="0.25">
      <c r="A381" s="3">
        <f t="shared" si="33"/>
        <v>369</v>
      </c>
      <c r="B381" s="3">
        <f t="shared" si="34"/>
        <v>369</v>
      </c>
      <c r="C381" s="3">
        <f t="shared" si="35"/>
        <v>298.84704130635816</v>
      </c>
      <c r="D381" s="3">
        <f t="shared" si="30"/>
        <v>2.074757466707668E-2</v>
      </c>
      <c r="E381" s="3">
        <f t="shared" si="31"/>
        <v>298.82176880535945</v>
      </c>
      <c r="F381" s="3">
        <f t="shared" si="32"/>
        <v>2.5272500998710257E-2</v>
      </c>
    </row>
    <row r="382" spans="1:6" x14ac:dyDescent="0.25">
      <c r="A382" s="3">
        <f t="shared" si="33"/>
        <v>370</v>
      </c>
      <c r="B382" s="3">
        <f t="shared" si="34"/>
        <v>370</v>
      </c>
      <c r="C382" s="3">
        <f t="shared" si="35"/>
        <v>298.86778888102526</v>
      </c>
      <c r="D382" s="3">
        <f t="shared" si="30"/>
        <v>2.0374751411108595E-2</v>
      </c>
      <c r="E382" s="3">
        <f t="shared" si="31"/>
        <v>298.84278114536744</v>
      </c>
      <c r="F382" s="3">
        <f t="shared" si="32"/>
        <v>2.5007735657823105E-2</v>
      </c>
    </row>
    <row r="383" spans="1:6" x14ac:dyDescent="0.25">
      <c r="A383" s="3">
        <f t="shared" si="33"/>
        <v>371</v>
      </c>
      <c r="B383" s="3">
        <f t="shared" si="34"/>
        <v>371</v>
      </c>
      <c r="C383" s="3">
        <f t="shared" si="35"/>
        <v>298.88816363243637</v>
      </c>
      <c r="D383" s="3">
        <f t="shared" si="30"/>
        <v>2.0008608634183671E-2</v>
      </c>
      <c r="E383" s="3">
        <f t="shared" si="31"/>
        <v>298.86341929039139</v>
      </c>
      <c r="F383" s="3">
        <f t="shared" si="32"/>
        <v>2.4744342044982659E-2</v>
      </c>
    </row>
    <row r="384" spans="1:6" x14ac:dyDescent="0.25">
      <c r="A384" s="3">
        <f t="shared" si="33"/>
        <v>372</v>
      </c>
      <c r="B384" s="3">
        <f t="shared" si="34"/>
        <v>372</v>
      </c>
      <c r="C384" s="3">
        <f t="shared" si="35"/>
        <v>298.90817224107053</v>
      </c>
      <c r="D384" s="3">
        <f t="shared" si="30"/>
        <v>1.9649027309287422E-2</v>
      </c>
      <c r="E384" s="3">
        <f t="shared" si="31"/>
        <v>298.88368988528549</v>
      </c>
      <c r="F384" s="3">
        <f t="shared" si="32"/>
        <v>2.4482355785039545E-2</v>
      </c>
    </row>
    <row r="385" spans="1:6" x14ac:dyDescent="0.25">
      <c r="A385" s="3">
        <f t="shared" si="33"/>
        <v>373</v>
      </c>
      <c r="B385" s="3">
        <f t="shared" si="34"/>
        <v>373</v>
      </c>
      <c r="C385" s="3">
        <f t="shared" si="35"/>
        <v>298.92782126837983</v>
      </c>
      <c r="D385" s="3">
        <f t="shared" si="30"/>
        <v>1.9295890505841531E-2</v>
      </c>
      <c r="E385" s="3">
        <f t="shared" si="31"/>
        <v>298.90359945757672</v>
      </c>
      <c r="F385" s="3">
        <f t="shared" si="32"/>
        <v>2.4221810803112476E-2</v>
      </c>
    </row>
    <row r="386" spans="1:6" x14ac:dyDescent="0.25">
      <c r="A386" s="3">
        <f t="shared" si="33"/>
        <v>374</v>
      </c>
      <c r="B386" s="3">
        <f t="shared" si="34"/>
        <v>374</v>
      </c>
      <c r="C386" s="3">
        <f t="shared" si="35"/>
        <v>298.94711715888565</v>
      </c>
      <c r="D386" s="3">
        <f t="shared" si="30"/>
        <v>1.8949083353650992E-2</v>
      </c>
      <c r="E386" s="3">
        <f t="shared" si="31"/>
        <v>298.92315441951411</v>
      </c>
      <c r="F386" s="3">
        <f t="shared" si="32"/>
        <v>2.396273937154092E-2</v>
      </c>
    </row>
    <row r="387" spans="1:6" x14ac:dyDescent="0.25">
      <c r="A387" s="3">
        <f t="shared" si="33"/>
        <v>375</v>
      </c>
      <c r="B387" s="3">
        <f t="shared" si="34"/>
        <v>375</v>
      </c>
      <c r="C387" s="3">
        <f t="shared" si="35"/>
        <v>298.96606624223932</v>
      </c>
      <c r="D387" s="3">
        <f t="shared" si="30"/>
        <v>1.8608493007443536E-2</v>
      </c>
      <c r="E387" s="3">
        <f t="shared" si="31"/>
        <v>298.94236107008101</v>
      </c>
      <c r="F387" s="3">
        <f t="shared" si="32"/>
        <v>2.370517215831569E-2</v>
      </c>
    </row>
    <row r="388" spans="1:6" x14ac:dyDescent="0.25">
      <c r="A388" s="3">
        <f t="shared" si="33"/>
        <v>376</v>
      </c>
      <c r="B388" s="3">
        <f t="shared" si="34"/>
        <v>376</v>
      </c>
      <c r="C388" s="3">
        <f t="shared" si="35"/>
        <v>298.98467473524676</v>
      </c>
      <c r="D388" s="3">
        <f t="shared" si="30"/>
        <v>1.827400861199106E-2</v>
      </c>
      <c r="E388" s="3">
        <f t="shared" si="31"/>
        <v>298.96122559697295</v>
      </c>
      <c r="F388" s="3">
        <f t="shared" si="32"/>
        <v>2.3449138273804238E-2</v>
      </c>
    </row>
    <row r="389" spans="1:6" x14ac:dyDescent="0.25">
      <c r="A389" s="3">
        <f t="shared" si="33"/>
        <v>377</v>
      </c>
      <c r="B389" s="3">
        <f t="shared" si="34"/>
        <v>377</v>
      </c>
      <c r="C389" s="3">
        <f t="shared" si="35"/>
        <v>299.00294874385872</v>
      </c>
      <c r="D389" s="3">
        <f t="shared" si="30"/>
        <v>1.7945521267786257E-2</v>
      </c>
      <c r="E389" s="3">
        <f t="shared" si="31"/>
        <v>298.97975407854432</v>
      </c>
      <c r="F389" s="3">
        <f t="shared" si="32"/>
        <v>2.3194665314406393E-2</v>
      </c>
    </row>
    <row r="390" spans="1:6" x14ac:dyDescent="0.25">
      <c r="A390" s="3">
        <f t="shared" si="33"/>
        <v>378</v>
      </c>
      <c r="B390" s="3">
        <f t="shared" si="34"/>
        <v>378</v>
      </c>
      <c r="C390" s="3">
        <f t="shared" si="35"/>
        <v>299.02089426512651</v>
      </c>
      <c r="D390" s="3">
        <f t="shared" si="30"/>
        <v>1.7622923997304724E-2</v>
      </c>
      <c r="E390" s="3">
        <f t="shared" si="31"/>
        <v>298.99795248571684</v>
      </c>
      <c r="F390" s="3">
        <f t="shared" si="32"/>
        <v>2.2941779409677565E-2</v>
      </c>
    </row>
    <row r="391" spans="1:6" x14ac:dyDescent="0.25">
      <c r="A391" s="3">
        <f t="shared" si="33"/>
        <v>379</v>
      </c>
      <c r="B391" s="3">
        <f t="shared" si="34"/>
        <v>379</v>
      </c>
      <c r="C391" s="3">
        <f t="shared" si="35"/>
        <v>299.03851718912381</v>
      </c>
      <c r="D391" s="3">
        <f t="shared" si="30"/>
        <v>1.730611171180382E-2</v>
      </c>
      <c r="E391" s="3">
        <f t="shared" si="31"/>
        <v>299.01582668386203</v>
      </c>
      <c r="F391" s="3">
        <f t="shared" si="32"/>
        <v>2.2690505261778071E-2</v>
      </c>
    </row>
    <row r="392" spans="1:6" x14ac:dyDescent="0.25">
      <c r="A392" s="3">
        <f t="shared" si="33"/>
        <v>380</v>
      </c>
      <c r="B392" s="3">
        <f t="shared" si="34"/>
        <v>380</v>
      </c>
      <c r="C392" s="3">
        <f t="shared" si="35"/>
        <v>299.05582330083558</v>
      </c>
      <c r="D392" s="3">
        <f t="shared" si="30"/>
        <v>1.6994981178683727E-2</v>
      </c>
      <c r="E392" s="3">
        <f t="shared" si="31"/>
        <v>299.03338243464492</v>
      </c>
      <c r="F392" s="3">
        <f t="shared" si="32"/>
        <v>2.2440866190663655E-2</v>
      </c>
    </row>
    <row r="393" spans="1:6" x14ac:dyDescent="0.25">
      <c r="A393" s="3">
        <f t="shared" si="33"/>
        <v>381</v>
      </c>
      <c r="B393" s="3">
        <f t="shared" si="34"/>
        <v>381</v>
      </c>
      <c r="C393" s="3">
        <f t="shared" si="35"/>
        <v>299.07281828201428</v>
      </c>
      <c r="D393" s="3">
        <f t="shared" si="30"/>
        <v>1.6689430989370983E-2</v>
      </c>
      <c r="E393" s="3">
        <f t="shared" si="31"/>
        <v>299.05062539784075</v>
      </c>
      <c r="F393" s="3">
        <f t="shared" si="32"/>
        <v>2.2192884173534821E-2</v>
      </c>
    </row>
    <row r="394" spans="1:6" x14ac:dyDescent="0.25">
      <c r="A394" s="3">
        <f t="shared" si="33"/>
        <v>382</v>
      </c>
      <c r="B394" s="3">
        <f t="shared" si="34"/>
        <v>382</v>
      </c>
      <c r="C394" s="3">
        <f t="shared" si="35"/>
        <v>299.08950771300363</v>
      </c>
      <c r="D394" s="3">
        <f t="shared" si="30"/>
        <v>1.638936152775201E-2</v>
      </c>
      <c r="E394" s="3">
        <f t="shared" si="31"/>
        <v>299.06756113311894</v>
      </c>
      <c r="F394" s="3">
        <f t="shared" si="32"/>
        <v>2.194657988468407E-2</v>
      </c>
    </row>
    <row r="395" spans="1:6" x14ac:dyDescent="0.25">
      <c r="A395" s="3">
        <f t="shared" si="33"/>
        <v>383</v>
      </c>
      <c r="B395" s="3">
        <f t="shared" si="34"/>
        <v>383</v>
      </c>
      <c r="C395" s="3">
        <f t="shared" si="35"/>
        <v>299.10589707453136</v>
      </c>
      <c r="D395" s="3">
        <f t="shared" si="30"/>
        <v>1.6094674939107538E-2</v>
      </c>
      <c r="E395" s="3">
        <f t="shared" si="31"/>
        <v>299.08419510179584</v>
      </c>
      <c r="F395" s="3">
        <f t="shared" si="32"/>
        <v>2.1701972735513664E-2</v>
      </c>
    </row>
    <row r="396" spans="1:6" x14ac:dyDescent="0.25">
      <c r="A396" s="3">
        <f t="shared" si="33"/>
        <v>384</v>
      </c>
      <c r="B396" s="3">
        <f t="shared" si="34"/>
        <v>384</v>
      </c>
      <c r="C396" s="3">
        <f t="shared" si="35"/>
        <v>299.12199174947045</v>
      </c>
      <c r="D396" s="3">
        <f t="shared" ref="D396:D459" si="36">$B$3*C396^(3/4)*(1-(C396/$B$4)^(1/4))</f>
        <v>1.5805275099586815E-2</v>
      </c>
      <c r="E396" s="3">
        <f t="shared" ref="E396:E412" si="37">( $B$8 + ($B$9-$B$8)*EXP(-$B$3*B396/(4*$B$8)) )^4</f>
        <v>299.10053266855851</v>
      </c>
      <c r="F396" s="3">
        <f t="shared" ref="F396:F459" si="38">ABS(C396-E396)</f>
        <v>2.1459080911938599E-2</v>
      </c>
    </row>
    <row r="397" spans="1:6" x14ac:dyDescent="0.25">
      <c r="A397" s="3">
        <f t="shared" ref="A397:A412" si="39">A396+1</f>
        <v>385</v>
      </c>
      <c r="B397" s="3">
        <f t="shared" ref="B397:B412" si="40">B396+$B$6</f>
        <v>385</v>
      </c>
      <c r="C397" s="3">
        <f t="shared" ref="C397:C412" si="41">C396+$B$6*D396</f>
        <v>299.13779702457003</v>
      </c>
      <c r="D397" s="3">
        <f t="shared" si="36"/>
        <v>1.5521067586162618E-2</v>
      </c>
      <c r="E397" s="3">
        <f t="shared" si="37"/>
        <v>299.11657910315739</v>
      </c>
      <c r="F397" s="3">
        <f t="shared" si="38"/>
        <v>2.1217921412642227E-2</v>
      </c>
    </row>
    <row r="398" spans="1:6" x14ac:dyDescent="0.25">
      <c r="A398" s="3">
        <f t="shared" si="39"/>
        <v>386</v>
      </c>
      <c r="B398" s="3">
        <f t="shared" si="40"/>
        <v>386</v>
      </c>
      <c r="C398" s="3">
        <f t="shared" si="41"/>
        <v>299.15331809215621</v>
      </c>
      <c r="D398" s="3">
        <f t="shared" si="36"/>
        <v>1.5241959647108441E-2</v>
      </c>
      <c r="E398" s="3">
        <f t="shared" si="37"/>
        <v>299.13233958207331</v>
      </c>
      <c r="F398" s="3">
        <f t="shared" si="38"/>
        <v>2.0978510082898083E-2</v>
      </c>
    </row>
    <row r="399" spans="1:6" x14ac:dyDescent="0.25">
      <c r="A399" s="3">
        <f t="shared" si="39"/>
        <v>387</v>
      </c>
      <c r="B399" s="3">
        <f t="shared" si="40"/>
        <v>387</v>
      </c>
      <c r="C399" s="3">
        <f t="shared" si="41"/>
        <v>299.1685600518033</v>
      </c>
      <c r="D399" s="3">
        <f t="shared" si="36"/>
        <v>1.4967860172964765E-2</v>
      </c>
      <c r="E399" s="3">
        <f t="shared" si="37"/>
        <v>299.14781919014985</v>
      </c>
      <c r="F399" s="3">
        <f t="shared" si="38"/>
        <v>2.0740861653450793E-2</v>
      </c>
    </row>
    <row r="400" spans="1:6" x14ac:dyDescent="0.25">
      <c r="A400" s="3">
        <f t="shared" si="39"/>
        <v>388</v>
      </c>
      <c r="B400" s="3">
        <f t="shared" si="40"/>
        <v>388</v>
      </c>
      <c r="C400" s="3">
        <f t="shared" si="41"/>
        <v>299.18352791197628</v>
      </c>
      <c r="D400" s="3">
        <f t="shared" si="36"/>
        <v>1.4698679667968522E-2</v>
      </c>
      <c r="E400" s="3">
        <f t="shared" si="37"/>
        <v>299.16302292220496</v>
      </c>
      <c r="F400" s="3">
        <f t="shared" si="38"/>
        <v>2.0504989771325199E-2</v>
      </c>
    </row>
    <row r="401" spans="1:6" x14ac:dyDescent="0.25">
      <c r="A401" s="3">
        <f t="shared" si="39"/>
        <v>389</v>
      </c>
      <c r="B401" s="3">
        <f t="shared" si="40"/>
        <v>389</v>
      </c>
      <c r="C401" s="3">
        <f t="shared" si="41"/>
        <v>299.19822659164424</v>
      </c>
      <c r="D401" s="3">
        <f t="shared" si="36"/>
        <v>1.4434330221991573E-2</v>
      </c>
      <c r="E401" s="3">
        <f t="shared" si="37"/>
        <v>299.17795568460775</v>
      </c>
      <c r="F401" s="3">
        <f t="shared" si="38"/>
        <v>2.0270907036490371E-2</v>
      </c>
    </row>
    <row r="402" spans="1:6" x14ac:dyDescent="0.25">
      <c r="A402" s="3">
        <f t="shared" si="39"/>
        <v>390</v>
      </c>
      <c r="B402" s="3">
        <f t="shared" si="40"/>
        <v>390</v>
      </c>
      <c r="C402" s="3">
        <f t="shared" si="41"/>
        <v>299.21266092186625</v>
      </c>
      <c r="D402" s="3">
        <f t="shared" si="36"/>
        <v>1.4174725482931048E-2</v>
      </c>
      <c r="E402" s="3">
        <f t="shared" si="37"/>
        <v>299.19262229683318</v>
      </c>
      <c r="F402" s="3">
        <f t="shared" si="38"/>
        <v>2.0038625033066637E-2</v>
      </c>
    </row>
    <row r="403" spans="1:6" x14ac:dyDescent="0.25">
      <c r="A403" s="3">
        <f t="shared" si="39"/>
        <v>391</v>
      </c>
      <c r="B403" s="3">
        <f t="shared" si="40"/>
        <v>391</v>
      </c>
      <c r="C403" s="3">
        <f t="shared" si="41"/>
        <v>299.22683564734916</v>
      </c>
      <c r="D403" s="3">
        <f t="shared" si="36"/>
        <v>1.3919780629561077E-2</v>
      </c>
      <c r="E403" s="3">
        <f t="shared" si="37"/>
        <v>299.20702749298817</v>
      </c>
      <c r="F403" s="3">
        <f t="shared" si="38"/>
        <v>1.9808154360987373E-2</v>
      </c>
    </row>
    <row r="404" spans="1:6" x14ac:dyDescent="0.25">
      <c r="A404" s="3">
        <f t="shared" si="39"/>
        <v>392</v>
      </c>
      <c r="B404" s="3">
        <f t="shared" si="40"/>
        <v>392</v>
      </c>
      <c r="C404" s="3">
        <f t="shared" si="41"/>
        <v>299.24075542797874</v>
      </c>
      <c r="D404" s="3">
        <f t="shared" si="36"/>
        <v>1.3669412344850787E-2</v>
      </c>
      <c r="E404" s="3">
        <f t="shared" si="37"/>
        <v>299.22117592331</v>
      </c>
      <c r="F404" s="3">
        <f t="shared" si="38"/>
        <v>1.957950466874081E-2</v>
      </c>
    </row>
    <row r="405" spans="1:6" x14ac:dyDescent="0.25">
      <c r="A405" s="3">
        <f t="shared" si="39"/>
        <v>393</v>
      </c>
      <c r="B405" s="3">
        <f t="shared" si="40"/>
        <v>393</v>
      </c>
      <c r="C405" s="3">
        <f t="shared" si="41"/>
        <v>299.25442484032357</v>
      </c>
      <c r="D405" s="3">
        <f t="shared" si="36"/>
        <v>1.3423538789724769E-2</v>
      </c>
      <c r="E405" s="3">
        <f t="shared" si="37"/>
        <v>299.23507215564109</v>
      </c>
      <c r="F405" s="3">
        <f t="shared" si="38"/>
        <v>1.9352684682473864E-2</v>
      </c>
    </row>
    <row r="406" spans="1:6" x14ac:dyDescent="0.25">
      <c r="A406" s="3">
        <f t="shared" si="39"/>
        <v>394</v>
      </c>
      <c r="B406" s="3">
        <f t="shared" si="40"/>
        <v>394</v>
      </c>
      <c r="C406" s="3">
        <f t="shared" si="41"/>
        <v>299.26784837911327</v>
      </c>
      <c r="D406" s="3">
        <f t="shared" si="36"/>
        <v>1.3182079577258407E-2</v>
      </c>
      <c r="E406" s="3">
        <f t="shared" si="37"/>
        <v>299.24872067687795</v>
      </c>
      <c r="F406" s="3">
        <f t="shared" si="38"/>
        <v>1.9127702235323341E-2</v>
      </c>
    </row>
    <row r="407" spans="1:6" x14ac:dyDescent="0.25">
      <c r="A407" s="3">
        <f t="shared" si="39"/>
        <v>395</v>
      </c>
      <c r="B407" s="3">
        <f t="shared" si="40"/>
        <v>395</v>
      </c>
      <c r="C407" s="3">
        <f t="shared" si="41"/>
        <v>299.28103045869051</v>
      </c>
      <c r="D407" s="3">
        <f t="shared" si="36"/>
        <v>1.2944955747336801E-2</v>
      </c>
      <c r="E407" s="3">
        <f t="shared" si="37"/>
        <v>299.26212589439251</v>
      </c>
      <c r="F407" s="3">
        <f t="shared" si="38"/>
        <v>1.8904564297997695E-2</v>
      </c>
    </row>
    <row r="408" spans="1:6" x14ac:dyDescent="0.25">
      <c r="A408" s="3">
        <f t="shared" si="39"/>
        <v>396</v>
      </c>
      <c r="B408" s="3">
        <f t="shared" si="40"/>
        <v>396</v>
      </c>
      <c r="C408" s="3">
        <f t="shared" si="41"/>
        <v>299.29397541443785</v>
      </c>
      <c r="D408" s="3">
        <f t="shared" si="36"/>
        <v>1.2712089741695451E-2</v>
      </c>
      <c r="E408" s="3">
        <f t="shared" si="37"/>
        <v>299.27529213743287</v>
      </c>
      <c r="F408" s="3">
        <f t="shared" si="38"/>
        <v>1.8683277004981846E-2</v>
      </c>
    </row>
    <row r="409" spans="1:6" x14ac:dyDescent="0.25">
      <c r="A409" s="3">
        <f t="shared" si="39"/>
        <v>397</v>
      </c>
      <c r="B409" s="3">
        <f t="shared" si="40"/>
        <v>397</v>
      </c>
      <c r="C409" s="3">
        <f t="shared" si="41"/>
        <v>299.30668750417954</v>
      </c>
      <c r="D409" s="3">
        <f t="shared" si="36"/>
        <v>1.2483405379431073E-2</v>
      </c>
      <c r="E409" s="3">
        <f t="shared" si="37"/>
        <v>299.28822365849601</v>
      </c>
      <c r="F409" s="3">
        <f t="shared" si="38"/>
        <v>1.8463845683527325E-2</v>
      </c>
    </row>
    <row r="410" spans="1:6" x14ac:dyDescent="0.25">
      <c r="A410" s="3">
        <f t="shared" si="39"/>
        <v>398</v>
      </c>
      <c r="B410" s="3">
        <f t="shared" si="40"/>
        <v>398</v>
      </c>
      <c r="C410" s="3">
        <f t="shared" si="41"/>
        <v>299.31917090955898</v>
      </c>
      <c r="D410" s="3">
        <f t="shared" si="36"/>
        <v>1.225882783288852E-2</v>
      </c>
      <c r="E410" s="3">
        <f t="shared" si="37"/>
        <v>299.30092463467986</v>
      </c>
      <c r="F410" s="3">
        <f t="shared" si="38"/>
        <v>1.8246274879118118E-2</v>
      </c>
    </row>
    <row r="411" spans="1:6" x14ac:dyDescent="0.25">
      <c r="A411" s="3">
        <f t="shared" si="39"/>
        <v>399</v>
      </c>
      <c r="B411" s="3">
        <f t="shared" si="40"/>
        <v>399</v>
      </c>
      <c r="C411" s="3">
        <f t="shared" si="41"/>
        <v>299.33142973739189</v>
      </c>
      <c r="D411" s="3">
        <f t="shared" si="36"/>
        <v>1.2038283603985843E-2</v>
      </c>
      <c r="E411" s="3">
        <f t="shared" si="37"/>
        <v>299.31339916900976</v>
      </c>
      <c r="F411" s="3">
        <f t="shared" si="38"/>
        <v>1.8030568382130241E-2</v>
      </c>
    </row>
    <row r="412" spans="1:6" x14ac:dyDescent="0.25">
      <c r="A412" s="3">
        <f t="shared" si="39"/>
        <v>400</v>
      </c>
      <c r="B412" s="3">
        <f t="shared" si="40"/>
        <v>400</v>
      </c>
      <c r="C412" s="3">
        <f t="shared" si="41"/>
        <v>299.34346802099589</v>
      </c>
      <c r="D412" s="3">
        <f t="shared" si="36"/>
        <v>1.1821700500914302E-2</v>
      </c>
      <c r="E412" s="3">
        <f t="shared" si="37"/>
        <v>299.32565129174293</v>
      </c>
      <c r="F412" s="3">
        <f t="shared" si="38"/>
        <v>1.781672925295652E-2</v>
      </c>
    </row>
    <row r="413" spans="1:6" x14ac:dyDescent="0.25">
      <c r="A413" s="3"/>
      <c r="B413" s="3"/>
      <c r="C413" s="3"/>
      <c r="D413" s="3"/>
      <c r="E413" s="3"/>
      <c r="F413" s="3"/>
    </row>
  </sheetData>
  <mergeCells count="1">
    <mergeCell ref="A1:F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3"/>
  <sheetViews>
    <sheetView workbookViewId="0">
      <selection sqref="A1:H1"/>
    </sheetView>
  </sheetViews>
  <sheetFormatPr baseColWidth="10" defaultColWidth="9.140625" defaultRowHeight="15" x14ac:dyDescent="0.25"/>
  <cols>
    <col min="1" max="1" width="18.140625" customWidth="1"/>
    <col min="2" max="2" width="10" customWidth="1"/>
    <col min="3" max="3" width="16" customWidth="1"/>
    <col min="4" max="4" width="14" customWidth="1"/>
    <col min="5" max="5" width="16" customWidth="1"/>
    <col min="6" max="6" width="14" customWidth="1"/>
    <col min="7" max="7" width="16" customWidth="1"/>
    <col min="8" max="8" width="14" customWidth="1"/>
    <col min="10" max="10" width="10" customWidth="1"/>
    <col min="11" max="11" width="16" customWidth="1"/>
  </cols>
  <sheetData>
    <row r="1" spans="1:8" ht="21" x14ac:dyDescent="0.25">
      <c r="A1" s="7" t="s">
        <v>14</v>
      </c>
      <c r="B1" s="8"/>
      <c r="C1" s="8"/>
      <c r="D1" s="8"/>
      <c r="E1" s="8"/>
      <c r="F1" s="8"/>
      <c r="G1" s="8"/>
      <c r="H1" s="8"/>
    </row>
    <row r="3" spans="1:8" x14ac:dyDescent="0.25">
      <c r="A3" s="1" t="s">
        <v>1</v>
      </c>
      <c r="B3">
        <v>0.3</v>
      </c>
    </row>
    <row r="4" spans="1:8" x14ac:dyDescent="0.25">
      <c r="A4" s="1" t="s">
        <v>2</v>
      </c>
      <c r="B4">
        <v>300</v>
      </c>
    </row>
    <row r="5" spans="1:8" x14ac:dyDescent="0.25">
      <c r="A5" s="1" t="s">
        <v>3</v>
      </c>
      <c r="B5">
        <v>1</v>
      </c>
    </row>
    <row r="6" spans="1:8" x14ac:dyDescent="0.25">
      <c r="A6" s="1" t="s">
        <v>4</v>
      </c>
      <c r="B6">
        <v>1</v>
      </c>
    </row>
    <row r="7" spans="1:8" x14ac:dyDescent="0.25">
      <c r="A7" s="1" t="s">
        <v>5</v>
      </c>
      <c r="B7">
        <v>400</v>
      </c>
    </row>
    <row r="8" spans="1:8" x14ac:dyDescent="0.25">
      <c r="A8" s="1" t="s">
        <v>6</v>
      </c>
      <c r="B8">
        <f>B4^(1/4)</f>
        <v>4.1617914502878168</v>
      </c>
    </row>
    <row r="9" spans="1:8" x14ac:dyDescent="0.25">
      <c r="A9" s="1" t="s">
        <v>7</v>
      </c>
      <c r="B9">
        <f>B5^(1/4)</f>
        <v>1</v>
      </c>
    </row>
    <row r="11" spans="1:8" x14ac:dyDescent="0.25">
      <c r="A11" s="4" t="s">
        <v>8</v>
      </c>
      <c r="B11" s="4" t="s">
        <v>9</v>
      </c>
      <c r="C11" s="4" t="s">
        <v>15</v>
      </c>
      <c r="D11" s="4" t="s">
        <v>16</v>
      </c>
      <c r="E11" s="4" t="s">
        <v>17</v>
      </c>
      <c r="F11" s="4" t="s">
        <v>18</v>
      </c>
      <c r="G11" s="4" t="s">
        <v>12</v>
      </c>
      <c r="H11" s="4" t="s">
        <v>13</v>
      </c>
    </row>
    <row r="12" spans="1:8" x14ac:dyDescent="0.25">
      <c r="A12" s="3">
        <v>0</v>
      </c>
      <c r="B12" s="3">
        <v>0</v>
      </c>
      <c r="C12" s="3">
        <f>B5</f>
        <v>1</v>
      </c>
      <c r="D12" s="3">
        <f t="shared" ref="D12:D75" si="0">$B$3*C12^(3/4)*(1-(C12/$B$4)^(1/4))</f>
        <v>0.22791565757595736</v>
      </c>
      <c r="E12" s="3">
        <f t="shared" ref="E12:E75" si="1">C12+$B$6*D12</f>
        <v>1.2279156575759573</v>
      </c>
      <c r="F12" s="3">
        <f t="shared" ref="F12:F75" si="2">$B$3*E12^(3/4)*(1-(E12/$B$4)^(1/4))</f>
        <v>0.26142978688865237</v>
      </c>
      <c r="G12" s="3">
        <f t="shared" ref="G12:G75" si="3">( $B$8 + ($B$9-$B$8)*EXP(-$B$3*B12/(4*$B$8)) )^4</f>
        <v>1</v>
      </c>
      <c r="H12" s="3">
        <f t="shared" ref="H12:H75" si="4">ABS(C12-G12)</f>
        <v>0</v>
      </c>
    </row>
    <row r="13" spans="1:8" x14ac:dyDescent="0.25">
      <c r="A13" s="3">
        <f t="shared" ref="A13:A76" si="5">A12+1</f>
        <v>1</v>
      </c>
      <c r="B13" s="3">
        <f t="shared" ref="B13:B76" si="6">B12+$B$6</f>
        <v>1</v>
      </c>
      <c r="C13" s="3">
        <f t="shared" ref="C13:C76" si="7">C12+($B$6/2)*(D12+F12)</f>
        <v>1.2446727222323049</v>
      </c>
      <c r="D13" s="3">
        <f t="shared" si="0"/>
        <v>0.26379748232932554</v>
      </c>
      <c r="E13" s="3">
        <f t="shared" si="1"/>
        <v>1.5084702045616303</v>
      </c>
      <c r="F13" s="3">
        <f t="shared" si="2"/>
        <v>0.29960468728953005</v>
      </c>
      <c r="G13" s="3">
        <f t="shared" si="3"/>
        <v>1.2457369067122488</v>
      </c>
      <c r="H13" s="3">
        <f t="shared" si="4"/>
        <v>1.0641844799439415E-3</v>
      </c>
    </row>
    <row r="14" spans="1:8" x14ac:dyDescent="0.25">
      <c r="A14" s="3">
        <f t="shared" si="5"/>
        <v>2</v>
      </c>
      <c r="B14" s="3">
        <f t="shared" si="6"/>
        <v>2</v>
      </c>
      <c r="C14" s="3">
        <f t="shared" si="7"/>
        <v>1.5263738070417325</v>
      </c>
      <c r="D14" s="3">
        <f t="shared" si="0"/>
        <v>0.3019436206908096</v>
      </c>
      <c r="E14" s="3">
        <f t="shared" si="1"/>
        <v>1.828317427732542</v>
      </c>
      <c r="F14" s="3">
        <f t="shared" si="2"/>
        <v>0.33990050818665823</v>
      </c>
      <c r="G14" s="3">
        <f t="shared" si="3"/>
        <v>1.5286485939791952</v>
      </c>
      <c r="H14" s="3">
        <f t="shared" si="4"/>
        <v>2.2747869374626362E-3</v>
      </c>
    </row>
    <row r="15" spans="1:8" x14ac:dyDescent="0.25">
      <c r="A15" s="3">
        <f t="shared" si="5"/>
        <v>3</v>
      </c>
      <c r="B15" s="3">
        <f t="shared" si="6"/>
        <v>3</v>
      </c>
      <c r="C15" s="3">
        <f t="shared" si="7"/>
        <v>1.8472958714804664</v>
      </c>
      <c r="D15" s="3">
        <f t="shared" si="0"/>
        <v>0.34219994807206544</v>
      </c>
      <c r="E15" s="3">
        <f t="shared" si="1"/>
        <v>2.1894958195525316</v>
      </c>
      <c r="F15" s="3">
        <f t="shared" si="2"/>
        <v>0.38215371052395813</v>
      </c>
      <c r="G15" s="3">
        <f t="shared" si="3"/>
        <v>1.8509187928172961</v>
      </c>
      <c r="H15" s="3">
        <f t="shared" si="4"/>
        <v>3.6229213368297319E-3</v>
      </c>
    </row>
    <row r="16" spans="1:8" x14ac:dyDescent="0.25">
      <c r="A16" s="3">
        <f t="shared" si="5"/>
        <v>4</v>
      </c>
      <c r="B16" s="3">
        <f t="shared" si="6"/>
        <v>4</v>
      </c>
      <c r="C16" s="3">
        <f t="shared" si="7"/>
        <v>2.2094727007784782</v>
      </c>
      <c r="D16" s="3">
        <f t="shared" si="0"/>
        <v>0.38440457469903061</v>
      </c>
      <c r="E16" s="3">
        <f t="shared" si="1"/>
        <v>2.5938772754775088</v>
      </c>
      <c r="F16" s="3">
        <f t="shared" si="2"/>
        <v>0.4261954855613489</v>
      </c>
      <c r="G16" s="3">
        <f t="shared" si="3"/>
        <v>2.2145716888045168</v>
      </c>
      <c r="H16" s="3">
        <f t="shared" si="4"/>
        <v>5.0989880260385867E-3</v>
      </c>
    </row>
    <row r="17" spans="1:8" x14ac:dyDescent="0.25">
      <c r="A17" s="3">
        <f t="shared" si="5"/>
        <v>5</v>
      </c>
      <c r="B17" s="3">
        <f t="shared" si="6"/>
        <v>5</v>
      </c>
      <c r="C17" s="3">
        <f t="shared" si="7"/>
        <v>2.6147727309086681</v>
      </c>
      <c r="D17" s="3">
        <f t="shared" si="0"/>
        <v>0.42839018088700387</v>
      </c>
      <c r="E17" s="3">
        <f t="shared" si="1"/>
        <v>3.043162911795672</v>
      </c>
      <c r="F17" s="3">
        <f t="shared" si="2"/>
        <v>0.47185378950611884</v>
      </c>
      <c r="G17" s="3">
        <f t="shared" si="3"/>
        <v>2.621465641911616</v>
      </c>
      <c r="H17" s="3">
        <f t="shared" si="4"/>
        <v>6.6929110029478878E-3</v>
      </c>
    </row>
    <row r="18" spans="1:8" x14ac:dyDescent="0.25">
      <c r="A18" s="3">
        <f t="shared" si="5"/>
        <v>6</v>
      </c>
      <c r="B18" s="3">
        <f t="shared" si="6"/>
        <v>6</v>
      </c>
      <c r="C18" s="3">
        <f t="shared" si="7"/>
        <v>3.0648947161052296</v>
      </c>
      <c r="D18" s="3">
        <f t="shared" si="0"/>
        <v>0.47398606207165656</v>
      </c>
      <c r="E18" s="3">
        <f t="shared" si="1"/>
        <v>3.5388807781768863</v>
      </c>
      <c r="F18" s="3">
        <f t="shared" si="2"/>
        <v>0.51895511590812982</v>
      </c>
      <c r="G18" s="3">
        <f t="shared" si="3"/>
        <v>3.0732890506996648</v>
      </c>
      <c r="H18" s="3">
        <f t="shared" si="4"/>
        <v>8.3943345944352821E-3</v>
      </c>
    </row>
    <row r="19" spans="1:8" x14ac:dyDescent="0.25">
      <c r="A19" s="3">
        <f t="shared" si="5"/>
        <v>7</v>
      </c>
      <c r="B19" s="3">
        <f t="shared" si="6"/>
        <v>7</v>
      </c>
      <c r="C19" s="3">
        <f t="shared" si="7"/>
        <v>3.5613653050951228</v>
      </c>
      <c r="D19" s="3">
        <f t="shared" si="0"/>
        <v>0.52101991191906549</v>
      </c>
      <c r="E19" s="3">
        <f t="shared" si="1"/>
        <v>4.0823852170141883</v>
      </c>
      <c r="F19" s="3">
        <f t="shared" si="2"/>
        <v>0.56732603206477572</v>
      </c>
      <c r="G19" s="3">
        <f t="shared" si="3"/>
        <v>3.571558090880552</v>
      </c>
      <c r="H19" s="3">
        <f t="shared" si="4"/>
        <v>1.0192785785429148E-2</v>
      </c>
    </row>
    <row r="20" spans="1:8" x14ac:dyDescent="0.25">
      <c r="A20" s="3">
        <f t="shared" si="5"/>
        <v>8</v>
      </c>
      <c r="B20" s="3">
        <f t="shared" si="6"/>
        <v>8</v>
      </c>
      <c r="C20" s="3">
        <f t="shared" si="7"/>
        <v>4.1055382770870432</v>
      </c>
      <c r="D20" s="3">
        <f t="shared" si="0"/>
        <v>0.56931936937292005</v>
      </c>
      <c r="E20" s="3">
        <f t="shared" si="1"/>
        <v>4.6748576464599632</v>
      </c>
      <c r="F20" s="3">
        <f t="shared" si="2"/>
        <v>0.61679450326368179</v>
      </c>
      <c r="G20" s="3">
        <f t="shared" si="3"/>
        <v>4.1176160845258813</v>
      </c>
      <c r="H20" s="3">
        <f t="shared" si="4"/>
        <v>1.2077807438838128E-2</v>
      </c>
    </row>
    <row r="21" spans="1:8" x14ac:dyDescent="0.25">
      <c r="A21" s="3">
        <f t="shared" si="5"/>
        <v>9</v>
      </c>
      <c r="B21" s="3">
        <f t="shared" si="6"/>
        <v>9</v>
      </c>
      <c r="C21" s="3">
        <f t="shared" si="7"/>
        <v>4.6985952134053441</v>
      </c>
      <c r="D21" s="3">
        <f t="shared" si="0"/>
        <v>0.61871335322823107</v>
      </c>
      <c r="E21" s="3">
        <f t="shared" si="1"/>
        <v>5.3173085666335753</v>
      </c>
      <c r="F21" s="3">
        <f t="shared" si="2"/>
        <v>0.66719102651128603</v>
      </c>
      <c r="G21" s="3">
        <f t="shared" si="3"/>
        <v>4.7126342802333445</v>
      </c>
      <c r="H21" s="3">
        <f t="shared" si="4"/>
        <v>1.4039066828000379E-2</v>
      </c>
    </row>
    <row r="22" spans="1:8" x14ac:dyDescent="0.25">
      <c r="A22" s="3">
        <f t="shared" si="5"/>
        <v>10</v>
      </c>
      <c r="B22" s="3">
        <f t="shared" si="6"/>
        <v>10</v>
      </c>
      <c r="C22" s="3">
        <f t="shared" si="7"/>
        <v>5.3415474032751025</v>
      </c>
      <c r="D22" s="3">
        <f t="shared" si="0"/>
        <v>0.66903320573707903</v>
      </c>
      <c r="E22" s="3">
        <f t="shared" si="1"/>
        <v>6.0105806090121812</v>
      </c>
      <c r="F22" s="3">
        <f t="shared" si="2"/>
        <v>0.71834959342140925</v>
      </c>
      <c r="G22" s="3">
        <f t="shared" si="3"/>
        <v>5.3576138464997243</v>
      </c>
      <c r="H22" s="3">
        <f t="shared" si="4"/>
        <v>1.6066443224621807E-2</v>
      </c>
    </row>
    <row r="23" spans="1:8" x14ac:dyDescent="0.25">
      <c r="A23" s="3">
        <f t="shared" si="5"/>
        <v>11</v>
      </c>
      <c r="B23" s="3">
        <f t="shared" si="6"/>
        <v>11</v>
      </c>
      <c r="C23" s="3">
        <f t="shared" si="7"/>
        <v>6.0352388028543462</v>
      </c>
      <c r="D23" s="3">
        <f t="shared" si="0"/>
        <v>0.72011366484042549</v>
      </c>
      <c r="E23" s="3">
        <f t="shared" si="1"/>
        <v>6.755352467694772</v>
      </c>
      <c r="F23" s="3">
        <f t="shared" si="2"/>
        <v>0.77010850014480214</v>
      </c>
      <c r="G23" s="3">
        <f t="shared" si="3"/>
        <v>6.0533889005751584</v>
      </c>
      <c r="H23" s="3">
        <f t="shared" si="4"/>
        <v>1.8150097720812219E-2</v>
      </c>
    </row>
    <row r="24" spans="1:8" x14ac:dyDescent="0.25">
      <c r="A24" s="3">
        <f t="shared" si="5"/>
        <v>12</v>
      </c>
      <c r="B24" s="3">
        <f t="shared" si="6"/>
        <v>12</v>
      </c>
      <c r="C24" s="3">
        <f t="shared" si="7"/>
        <v>6.7803498853469604</v>
      </c>
      <c r="D24" s="3">
        <f t="shared" si="0"/>
        <v>0.77179368286773609</v>
      </c>
      <c r="E24" s="3">
        <f t="shared" si="1"/>
        <v>7.5521435682146967</v>
      </c>
      <c r="F24" s="3">
        <f t="shared" si="2"/>
        <v>0.82231102058829086</v>
      </c>
      <c r="G24" s="3">
        <f t="shared" si="3"/>
        <v>6.8006304133379958</v>
      </c>
      <c r="H24" s="3">
        <f t="shared" si="4"/>
        <v>2.0280527991035413E-2</v>
      </c>
    </row>
    <row r="25" spans="1:8" x14ac:dyDescent="0.25">
      <c r="A25" s="3">
        <f t="shared" si="5"/>
        <v>13</v>
      </c>
      <c r="B25" s="3">
        <f t="shared" si="6"/>
        <v>13</v>
      </c>
      <c r="C25" s="3">
        <f t="shared" si="7"/>
        <v>7.5774022370749741</v>
      </c>
      <c r="D25" s="3">
        <f t="shared" si="0"/>
        <v>0.82391710794057582</v>
      </c>
      <c r="E25" s="3">
        <f t="shared" si="1"/>
        <v>8.4013193450155494</v>
      </c>
      <c r="F25" s="3">
        <f t="shared" si="2"/>
        <v>0.87480595768401426</v>
      </c>
      <c r="G25" s="3">
        <f t="shared" si="3"/>
        <v>7.5998508473779669</v>
      </c>
      <c r="H25" s="3">
        <f t="shared" si="4"/>
        <v>2.2448610302992833E-2</v>
      </c>
    </row>
    <row r="26" spans="1:8" x14ac:dyDescent="0.25">
      <c r="A26" s="3">
        <f t="shared" si="5"/>
        <v>14</v>
      </c>
      <c r="B26" s="3">
        <f t="shared" si="6"/>
        <v>14</v>
      </c>
      <c r="C26" s="3">
        <f t="shared" si="7"/>
        <v>8.4267637698872697</v>
      </c>
      <c r="D26" s="3">
        <f t="shared" si="0"/>
        <v>0.87633324284556824</v>
      </c>
      <c r="E26" s="3">
        <f t="shared" si="1"/>
        <v>9.3030970127328381</v>
      </c>
      <c r="F26" s="3">
        <f t="shared" si="2"/>
        <v>0.92744808611117391</v>
      </c>
      <c r="G26" s="3">
        <f t="shared" si="3"/>
        <v>8.4514094006380613</v>
      </c>
      <c r="H26" s="3">
        <f t="shared" si="4"/>
        <v>2.4645630750791625E-2</v>
      </c>
    </row>
    <row r="27" spans="1:8" x14ac:dyDescent="0.25">
      <c r="A27" s="3">
        <f t="shared" si="5"/>
        <v>15</v>
      </c>
      <c r="B27" s="3">
        <f t="shared" si="6"/>
        <v>15</v>
      </c>
      <c r="C27" s="3">
        <f t="shared" si="7"/>
        <v>9.3286544343656406</v>
      </c>
      <c r="D27" s="3">
        <f t="shared" si="0"/>
        <v>0.92889729479522121</v>
      </c>
      <c r="E27" s="3">
        <f t="shared" si="1"/>
        <v>10.257551729160863</v>
      </c>
      <c r="F27" s="3">
        <f t="shared" si="2"/>
        <v>0.98009849863258447</v>
      </c>
      <c r="G27" s="3">
        <f t="shared" si="3"/>
        <v>9.3555177417655226</v>
      </c>
      <c r="H27" s="3">
        <f t="shared" si="4"/>
        <v>2.6863307399882075E-2</v>
      </c>
    </row>
    <row r="28" spans="1:8" x14ac:dyDescent="0.25">
      <c r="A28" s="3">
        <f t="shared" si="5"/>
        <v>16</v>
      </c>
      <c r="B28" s="3">
        <f t="shared" si="6"/>
        <v>16</v>
      </c>
      <c r="C28" s="3">
        <f t="shared" si="7"/>
        <v>10.283152331079544</v>
      </c>
      <c r="D28" s="3">
        <f t="shared" si="0"/>
        <v>0.98147072826191617</v>
      </c>
      <c r="E28" s="3">
        <f t="shared" si="1"/>
        <v>11.26462305934146</v>
      </c>
      <c r="F28" s="3">
        <f t="shared" si="2"/>
        <v>1.0326248670754237</v>
      </c>
      <c r="G28" s="3">
        <f t="shared" si="3"/>
        <v>10.312246135870794</v>
      </c>
      <c r="H28" s="3">
        <f t="shared" si="4"/>
        <v>2.9093804791250122E-2</v>
      </c>
    </row>
    <row r="29" spans="1:8" x14ac:dyDescent="0.25">
      <c r="A29" s="3">
        <f t="shared" si="5"/>
        <v>17</v>
      </c>
      <c r="B29" s="3">
        <f t="shared" si="6"/>
        <v>17</v>
      </c>
      <c r="C29" s="3">
        <f t="shared" si="7"/>
        <v>11.290200128748214</v>
      </c>
      <c r="D29" s="3">
        <f t="shared" si="0"/>
        <v>1.0339215319415551</v>
      </c>
      <c r="E29" s="3">
        <f t="shared" si="1"/>
        <v>12.324121660689769</v>
      </c>
      <c r="F29" s="3">
        <f t="shared" si="2"/>
        <v>1.0849016279504402</v>
      </c>
      <c r="G29" s="3">
        <f t="shared" si="3"/>
        <v>11.32152987079475</v>
      </c>
      <c r="H29" s="3">
        <f t="shared" si="4"/>
        <v>3.1329742046535713E-2</v>
      </c>
    </row>
    <row r="30" spans="1:8" x14ac:dyDescent="0.25">
      <c r="A30" s="3">
        <f t="shared" si="5"/>
        <v>18</v>
      </c>
      <c r="B30" s="3">
        <f t="shared" si="6"/>
        <v>18</v>
      </c>
      <c r="C30" s="3">
        <f t="shared" si="7"/>
        <v>12.349611708694212</v>
      </c>
      <c r="D30" s="3">
        <f t="shared" si="0"/>
        <v>1.0861244098703799</v>
      </c>
      <c r="E30" s="3">
        <f t="shared" si="1"/>
        <v>13.435736118564591</v>
      </c>
      <c r="F30" s="3">
        <f t="shared" si="2"/>
        <v>1.1368101017580334</v>
      </c>
      <c r="G30" s="3">
        <f t="shared" si="3"/>
        <v>12.38317590433323</v>
      </c>
      <c r="H30" s="3">
        <f t="shared" si="4"/>
        <v>3.3564195639018024E-2</v>
      </c>
    </row>
    <row r="31" spans="1:8" x14ac:dyDescent="0.25">
      <c r="A31" s="3">
        <f t="shared" si="5"/>
        <v>19</v>
      </c>
      <c r="B31" s="3">
        <f t="shared" si="6"/>
        <v>19</v>
      </c>
      <c r="C31" s="3">
        <f t="shared" si="7"/>
        <v>13.461078964508419</v>
      </c>
      <c r="D31" s="3">
        <f t="shared" si="0"/>
        <v>1.1379609057734745</v>
      </c>
      <c r="E31" s="3">
        <f t="shared" si="1"/>
        <v>14.599039870281892</v>
      </c>
      <c r="F31" s="3">
        <f t="shared" si="2"/>
        <v>1.1882385541654605</v>
      </c>
      <c r="G31" s="3">
        <f t="shared" si="3"/>
        <v>13.496869662252982</v>
      </c>
      <c r="H31" s="3">
        <f t="shared" si="4"/>
        <v>3.5790697744563005E-2</v>
      </c>
    </row>
    <row r="32" spans="1:8" x14ac:dyDescent="0.25">
      <c r="A32" s="3">
        <f t="shared" si="5"/>
        <v>20</v>
      </c>
      <c r="B32" s="3">
        <f t="shared" si="6"/>
        <v>20</v>
      </c>
      <c r="C32" s="3">
        <f t="shared" si="7"/>
        <v>14.624178694477886</v>
      </c>
      <c r="D32" s="3">
        <f t="shared" si="0"/>
        <v>1.1893194688592481</v>
      </c>
      <c r="E32" s="3">
        <f t="shared" si="1"/>
        <v>15.813498163337133</v>
      </c>
      <c r="F32" s="3">
        <f t="shared" si="2"/>
        <v>1.2390822064499623</v>
      </c>
      <c r="G32" s="3">
        <f t="shared" si="3"/>
        <v>14.66218192543435</v>
      </c>
      <c r="H32" s="3">
        <f t="shared" si="4"/>
        <v>3.8003230956464407E-2</v>
      </c>
    </row>
    <row r="33" spans="1:8" x14ac:dyDescent="0.25">
      <c r="A33" s="3">
        <f t="shared" si="5"/>
        <v>21</v>
      </c>
      <c r="B33" s="3">
        <f t="shared" si="6"/>
        <v>21</v>
      </c>
      <c r="C33" s="3">
        <f t="shared" si="7"/>
        <v>15.838379532132491</v>
      </c>
      <c r="D33" s="3">
        <f t="shared" si="0"/>
        <v>1.2400954684841066</v>
      </c>
      <c r="E33" s="3">
        <f t="shared" si="1"/>
        <v>17.078475000616596</v>
      </c>
      <c r="F33" s="3">
        <f t="shared" si="2"/>
        <v>1.2892432018816786</v>
      </c>
      <c r="G33" s="3">
        <f t="shared" si="3"/>
        <v>15.878575752169015</v>
      </c>
      <c r="H33" s="3">
        <f t="shared" si="4"/>
        <v>4.0196220036524011E-2</v>
      </c>
    </row>
    <row r="34" spans="1:8" x14ac:dyDescent="0.25">
      <c r="A34" s="3">
        <f t="shared" si="5"/>
        <v>22</v>
      </c>
      <c r="B34" s="3">
        <f t="shared" si="6"/>
        <v>22</v>
      </c>
      <c r="C34" s="3">
        <f t="shared" si="7"/>
        <v>17.103048867315383</v>
      </c>
      <c r="D34" s="3">
        <f t="shared" si="0"/>
        <v>1.2901911643895765</v>
      </c>
      <c r="E34" s="3">
        <f t="shared" si="1"/>
        <v>18.393240031704959</v>
      </c>
      <c r="F34" s="3">
        <f t="shared" si="2"/>
        <v>1.3386305340620035</v>
      </c>
      <c r="G34" s="3">
        <f t="shared" si="3"/>
        <v>17.145413388593727</v>
      </c>
      <c r="H34" s="3">
        <f t="shared" si="4"/>
        <v>4.2364521278344114E-2</v>
      </c>
    </row>
    <row r="35" spans="1:8" x14ac:dyDescent="0.25">
      <c r="A35" s="3">
        <f t="shared" si="5"/>
        <v>23</v>
      </c>
      <c r="B35" s="3">
        <f t="shared" si="6"/>
        <v>23</v>
      </c>
      <c r="C35" s="3">
        <f t="shared" si="7"/>
        <v>18.417459716541174</v>
      </c>
      <c r="D35" s="3">
        <f t="shared" si="0"/>
        <v>1.3395156385546785</v>
      </c>
      <c r="E35" s="3">
        <f t="shared" si="1"/>
        <v>19.756975355095854</v>
      </c>
      <c r="F35" s="3">
        <f t="shared" si="2"/>
        <v>1.3871599426323982</v>
      </c>
      <c r="G35" s="3">
        <f t="shared" si="3"/>
        <v>18.461963126516665</v>
      </c>
      <c r="H35" s="3">
        <f t="shared" si="4"/>
        <v>4.4503409975490626E-2</v>
      </c>
    </row>
    <row r="36" spans="1:8" x14ac:dyDescent="0.25">
      <c r="A36" s="3">
        <f t="shared" si="5"/>
        <v>24</v>
      </c>
      <c r="B36" s="3">
        <f t="shared" si="6"/>
        <v>24</v>
      </c>
      <c r="C36" s="3">
        <f t="shared" si="7"/>
        <v>19.780797507134711</v>
      </c>
      <c r="D36" s="3">
        <f t="shared" si="0"/>
        <v>1.3879846941042904</v>
      </c>
      <c r="E36" s="3">
        <f t="shared" si="1"/>
        <v>21.168782201239001</v>
      </c>
      <c r="F36" s="3">
        <f t="shared" si="2"/>
        <v>1.4347537812207385</v>
      </c>
      <c r="G36" s="3">
        <f t="shared" si="3"/>
        <v>19.827406073550513</v>
      </c>
      <c r="H36" s="3">
        <f t="shared" si="4"/>
        <v>4.6608566415802244E-2</v>
      </c>
    </row>
    <row r="37" spans="1:8" x14ac:dyDescent="0.25">
      <c r="A37" s="3">
        <f t="shared" si="5"/>
        <v>25</v>
      </c>
      <c r="B37" s="3">
        <f t="shared" si="6"/>
        <v>25</v>
      </c>
      <c r="C37" s="3">
        <f t="shared" si="7"/>
        <v>21.192166744797227</v>
      </c>
      <c r="D37" s="3">
        <f t="shared" si="0"/>
        <v>1.4355207261648804</v>
      </c>
      <c r="E37" s="3">
        <f t="shared" si="1"/>
        <v>22.627687470962108</v>
      </c>
      <c r="F37" s="3">
        <f t="shared" si="2"/>
        <v>1.4813408619928052</v>
      </c>
      <c r="G37" s="3">
        <f t="shared" si="3"/>
        <v>21.240842805557648</v>
      </c>
      <c r="H37" s="3">
        <f t="shared" si="4"/>
        <v>4.867606076042108E-2</v>
      </c>
    </row>
    <row r="38" spans="1:8" x14ac:dyDescent="0.25">
      <c r="A38" s="3">
        <f t="shared" si="5"/>
        <v>26</v>
      </c>
      <c r="B38" s="3">
        <f t="shared" si="6"/>
        <v>26</v>
      </c>
      <c r="C38" s="3">
        <f t="shared" si="7"/>
        <v>22.65059753887607</v>
      </c>
      <c r="D38" s="3">
        <f t="shared" si="0"/>
        <v>1.4820525690579949</v>
      </c>
      <c r="E38" s="3">
        <f t="shared" si="1"/>
        <v>24.132650107934065</v>
      </c>
      <c r="F38" s="3">
        <f t="shared" si="2"/>
        <v>1.5268562807213264</v>
      </c>
      <c r="G38" s="3">
        <f t="shared" si="3"/>
        <v>22.701299875989246</v>
      </c>
      <c r="H38" s="3">
        <f t="shared" si="4"/>
        <v>5.0702337113175844E-2</v>
      </c>
    </row>
    <row r="39" spans="1:8" x14ac:dyDescent="0.25">
      <c r="A39" s="3">
        <f t="shared" si="5"/>
        <v>27</v>
      </c>
      <c r="B39" s="3">
        <f t="shared" si="6"/>
        <v>27</v>
      </c>
      <c r="C39" s="3">
        <f t="shared" si="7"/>
        <v>24.155051963765732</v>
      </c>
      <c r="D39" s="3">
        <f t="shared" si="0"/>
        <v>1.5275153237652392</v>
      </c>
      <c r="E39" s="3">
        <f t="shared" si="1"/>
        <v>25.682567287530972</v>
      </c>
      <c r="F39" s="3">
        <f t="shared" si="2"/>
        <v>1.5712412258705359</v>
      </c>
      <c r="G39" s="3">
        <f t="shared" si="3"/>
        <v>24.207736160804689</v>
      </c>
      <c r="H39" s="3">
        <f t="shared" si="4"/>
        <v>5.2684197038956881E-2</v>
      </c>
    </row>
    <row r="40" spans="1:8" x14ac:dyDescent="0.25">
      <c r="A40" s="3">
        <f t="shared" si="5"/>
        <v>28</v>
      </c>
      <c r="B40" s="3">
        <f t="shared" si="6"/>
        <v>28</v>
      </c>
      <c r="C40" s="3">
        <f t="shared" si="7"/>
        <v>25.704430238583619</v>
      </c>
      <c r="D40" s="3">
        <f t="shared" si="0"/>
        <v>1.5718501691826179</v>
      </c>
      <c r="E40" s="3">
        <f t="shared" si="1"/>
        <v>27.276280407766237</v>
      </c>
      <c r="F40" s="3">
        <f t="shared" si="2"/>
        <v>1.6144427748170473</v>
      </c>
      <c r="G40" s="3">
        <f t="shared" si="3"/>
        <v>25.759049021333389</v>
      </c>
      <c r="H40" s="3">
        <f t="shared" si="4"/>
        <v>5.4618782749770389E-2</v>
      </c>
    </row>
    <row r="41" spans="1:8" x14ac:dyDescent="0.25">
      <c r="A41" s="3">
        <f t="shared" si="5"/>
        <v>29</v>
      </c>
      <c r="B41" s="3">
        <f t="shared" si="6"/>
        <v>29</v>
      </c>
      <c r="C41" s="3">
        <f t="shared" si="7"/>
        <v>27.297576710583453</v>
      </c>
      <c r="D41" s="3">
        <f t="shared" si="0"/>
        <v>1.6150041603035321</v>
      </c>
      <c r="E41" s="3">
        <f t="shared" si="1"/>
        <v>28.912580870886984</v>
      </c>
      <c r="F41" s="3">
        <f t="shared" si="2"/>
        <v>1.6564136799848568</v>
      </c>
      <c r="G41" s="3">
        <f t="shared" si="3"/>
        <v>27.354080270725802</v>
      </c>
      <c r="H41" s="3">
        <f t="shared" si="4"/>
        <v>5.6503560142349585E-2</v>
      </c>
    </row>
    <row r="42" spans="1:8" x14ac:dyDescent="0.25">
      <c r="A42" s="3">
        <f t="shared" si="5"/>
        <v>30</v>
      </c>
      <c r="B42" s="3">
        <f t="shared" si="6"/>
        <v>30</v>
      </c>
      <c r="C42" s="3">
        <f t="shared" si="7"/>
        <v>28.933285630727646</v>
      </c>
      <c r="D42" s="3">
        <f t="shared" si="0"/>
        <v>1.656930016125445</v>
      </c>
      <c r="E42" s="3">
        <f t="shared" si="1"/>
        <v>30.590215646853089</v>
      </c>
      <c r="F42" s="3">
        <f t="shared" si="2"/>
        <v>1.6971121473606501</v>
      </c>
      <c r="G42" s="3">
        <f t="shared" si="3"/>
        <v>28.991621932568869</v>
      </c>
      <c r="H42" s="3">
        <f t="shared" si="4"/>
        <v>5.8336301841222848E-2</v>
      </c>
    </row>
    <row r="43" spans="1:8" x14ac:dyDescent="0.25">
      <c r="A43" s="3">
        <f t="shared" si="5"/>
        <v>31</v>
      </c>
      <c r="B43" s="3">
        <f t="shared" si="6"/>
        <v>31</v>
      </c>
      <c r="C43" s="3">
        <f t="shared" si="7"/>
        <v>30.610306712470692</v>
      </c>
      <c r="D43" s="3">
        <f t="shared" si="0"/>
        <v>1.6975858997623587</v>
      </c>
      <c r="E43" s="3">
        <f t="shared" si="1"/>
        <v>32.307892612233047</v>
      </c>
      <c r="F43" s="3">
        <f t="shared" si="2"/>
        <v>1.7365016095726937</v>
      </c>
      <c r="G43" s="3">
        <f t="shared" si="3"/>
        <v>30.670421782845811</v>
      </c>
      <c r="H43" s="3">
        <f t="shared" si="4"/>
        <v>6.0115070375118762E-2</v>
      </c>
    </row>
    <row r="44" spans="1:8" x14ac:dyDescent="0.25">
      <c r="A44" s="3">
        <f t="shared" si="5"/>
        <v>32</v>
      </c>
      <c r="B44" s="3">
        <f t="shared" si="6"/>
        <v>32</v>
      </c>
      <c r="C44" s="3">
        <f t="shared" si="7"/>
        <v>32.327350467138217</v>
      </c>
      <c r="D44" s="3">
        <f t="shared" si="0"/>
        <v>1.7369351929610859</v>
      </c>
      <c r="E44" s="3">
        <f t="shared" si="1"/>
        <v>34.064285660099301</v>
      </c>
      <c r="F44" s="3">
        <f t="shared" si="2"/>
        <v>1.7745504954599156</v>
      </c>
      <c r="G44" s="3">
        <f t="shared" si="3"/>
        <v>32.389188668730313</v>
      </c>
      <c r="H44" s="3">
        <f t="shared" si="4"/>
        <v>6.1838201592095743E-2</v>
      </c>
    </row>
    <row r="45" spans="1:8" x14ac:dyDescent="0.25">
      <c r="A45" s="3">
        <f t="shared" si="5"/>
        <v>33</v>
      </c>
      <c r="B45" s="3">
        <f t="shared" si="6"/>
        <v>33</v>
      </c>
      <c r="C45" s="3">
        <f t="shared" si="7"/>
        <v>34.083093311348719</v>
      </c>
      <c r="D45" s="3">
        <f t="shared" si="0"/>
        <v>1.7749462669616338</v>
      </c>
      <c r="E45" s="3">
        <f t="shared" si="1"/>
        <v>35.858039578310354</v>
      </c>
      <c r="F45" s="3">
        <f t="shared" si="2"/>
        <v>1.8112319978252829</v>
      </c>
      <c r="G45" s="3">
        <f t="shared" si="3"/>
        <v>34.146597599748063</v>
      </c>
      <c r="H45" s="3">
        <f t="shared" si="4"/>
        <v>6.3504288399343523E-2</v>
      </c>
    </row>
    <row r="46" spans="1:8" x14ac:dyDescent="0.25">
      <c r="A46" s="3">
        <f t="shared" si="5"/>
        <v>34</v>
      </c>
      <c r="B46" s="3">
        <f t="shared" si="6"/>
        <v>34</v>
      </c>
      <c r="C46" s="3">
        <f t="shared" si="7"/>
        <v>35.876182443742181</v>
      </c>
      <c r="D46" s="3">
        <f t="shared" si="0"/>
        <v>1.811592251408374</v>
      </c>
      <c r="E46" s="3">
        <f t="shared" si="1"/>
        <v>37.687774695150551</v>
      </c>
      <c r="F46" s="3">
        <f t="shared" si="2"/>
        <v>1.8465238408570486</v>
      </c>
      <c r="G46" s="3">
        <f t="shared" si="3"/>
        <v>35.941294608639659</v>
      </c>
      <c r="H46" s="3">
        <f t="shared" si="4"/>
        <v>6.5112164897477953E-2</v>
      </c>
    </row>
    <row r="47" spans="1:8" x14ac:dyDescent="0.25">
      <c r="A47" s="3">
        <f t="shared" si="5"/>
        <v>35</v>
      </c>
      <c r="B47" s="3">
        <f t="shared" si="6"/>
        <v>35</v>
      </c>
      <c r="C47" s="3">
        <f t="shared" si="7"/>
        <v>37.705240489874889</v>
      </c>
      <c r="D47" s="3">
        <f t="shared" si="0"/>
        <v>1.846850802807211</v>
      </c>
      <c r="E47" s="3">
        <f t="shared" si="1"/>
        <v>39.5520912926821</v>
      </c>
      <c r="F47" s="3">
        <f t="shared" si="2"/>
        <v>1.8804080485111119</v>
      </c>
      <c r="G47" s="3">
        <f t="shared" si="3"/>
        <v>37.771901380838671</v>
      </c>
      <c r="H47" s="3">
        <f t="shared" si="4"/>
        <v>6.6660890963781583E-2</v>
      </c>
    </row>
    <row r="48" spans="1:8" x14ac:dyDescent="0.25">
      <c r="A48" s="3">
        <f t="shared" si="5"/>
        <v>36</v>
      </c>
      <c r="B48" s="3">
        <f t="shared" si="6"/>
        <v>36</v>
      </c>
      <c r="C48" s="3">
        <f t="shared" si="7"/>
        <v>39.568869915534052</v>
      </c>
      <c r="D48" s="3">
        <f t="shared" si="0"/>
        <v>1.8807038738327273</v>
      </c>
      <c r="E48" s="3">
        <f t="shared" si="1"/>
        <v>41.449573789366781</v>
      </c>
      <c r="F48" s="3">
        <f t="shared" si="2"/>
        <v>1.9128707149758175</v>
      </c>
      <c r="G48" s="3">
        <f t="shared" si="3"/>
        <v>39.63701965286176</v>
      </c>
      <c r="H48" s="3">
        <f t="shared" si="4"/>
        <v>6.8149737327708237E-2</v>
      </c>
    </row>
    <row r="49" spans="1:8" x14ac:dyDescent="0.25">
      <c r="A49" s="3">
        <f t="shared" si="5"/>
        <v>37</v>
      </c>
      <c r="B49" s="3">
        <f t="shared" si="6"/>
        <v>37</v>
      </c>
      <c r="C49" s="3">
        <f t="shared" si="7"/>
        <v>41.465657209938321</v>
      </c>
      <c r="D49" s="3">
        <f t="shared" si="0"/>
        <v>1.9131374846164895</v>
      </c>
      <c r="E49" s="3">
        <f t="shared" si="1"/>
        <v>43.378794694554813</v>
      </c>
      <c r="F49" s="3">
        <f t="shared" si="2"/>
        <v>1.9439017781854917</v>
      </c>
      <c r="G49" s="3">
        <f t="shared" si="3"/>
        <v>41.535235381108961</v>
      </c>
      <c r="H49" s="3">
        <f t="shared" si="4"/>
        <v>6.9578171170640246E-2</v>
      </c>
    </row>
    <row r="50" spans="1:8" x14ac:dyDescent="0.25">
      <c r="A50" s="3">
        <f t="shared" si="5"/>
        <v>38</v>
      </c>
      <c r="B50" s="3">
        <f t="shared" si="6"/>
        <v>38</v>
      </c>
      <c r="C50" s="3">
        <f t="shared" si="7"/>
        <v>43.394176841339309</v>
      </c>
      <c r="D50" s="3">
        <f t="shared" si="0"/>
        <v>1.9441414969919319</v>
      </c>
      <c r="E50" s="3">
        <f t="shared" si="1"/>
        <v>45.338318338331241</v>
      </c>
      <c r="F50" s="3">
        <f t="shared" si="2"/>
        <v>1.9734947972093493</v>
      </c>
      <c r="G50" s="3">
        <f t="shared" si="3"/>
        <v>43.465122683611796</v>
      </c>
      <c r="H50" s="3">
        <f t="shared" si="4"/>
        <v>7.0945842272486459E-2</v>
      </c>
    </row>
    <row r="51" spans="1:8" x14ac:dyDescent="0.25">
      <c r="A51" s="3">
        <f t="shared" si="5"/>
        <v>39</v>
      </c>
      <c r="B51" s="3">
        <f t="shared" si="6"/>
        <v>39</v>
      </c>
      <c r="C51" s="3">
        <f t="shared" si="7"/>
        <v>45.352994988439953</v>
      </c>
      <c r="D51" s="3">
        <f t="shared" si="0"/>
        <v>1.9737093925307629</v>
      </c>
      <c r="E51" s="3">
        <f t="shared" si="1"/>
        <v>47.326704380970718</v>
      </c>
      <c r="F51" s="3">
        <f t="shared" si="2"/>
        <v>2.0016467342168069</v>
      </c>
      <c r="G51" s="3">
        <f t="shared" si="3"/>
        <v>45.425247558162049</v>
      </c>
      <c r="H51" s="3">
        <f t="shared" si="4"/>
        <v>7.2252569722095927E-2</v>
      </c>
    </row>
    <row r="52" spans="1:8" x14ac:dyDescent="0.25">
      <c r="A52" s="3">
        <f t="shared" si="5"/>
        <v>40</v>
      </c>
      <c r="B52" s="3">
        <f t="shared" si="6"/>
        <v>40</v>
      </c>
      <c r="C52" s="3">
        <f t="shared" si="7"/>
        <v>47.340673051813738</v>
      </c>
      <c r="D52" s="3">
        <f t="shared" si="0"/>
        <v>2.0018380550796855</v>
      </c>
      <c r="E52" s="3">
        <f t="shared" si="1"/>
        <v>49.342511106893426</v>
      </c>
      <c r="F52" s="3">
        <f t="shared" si="2"/>
        <v>2.0283577416075014</v>
      </c>
      <c r="G52" s="3">
        <f t="shared" si="3"/>
        <v>47.414171381012579</v>
      </c>
      <c r="H52" s="3">
        <f t="shared" si="4"/>
        <v>7.3498329198841361E-2</v>
      </c>
    </row>
    <row r="53" spans="1:8" x14ac:dyDescent="0.25">
      <c r="A53" s="3">
        <f t="shared" si="5"/>
        <v>41</v>
      </c>
      <c r="B53" s="3">
        <f t="shared" si="6"/>
        <v>41</v>
      </c>
      <c r="C53" s="3">
        <f t="shared" si="7"/>
        <v>49.355770950157329</v>
      </c>
      <c r="D53" s="3">
        <f t="shared" si="0"/>
        <v>2.0285275583926987</v>
      </c>
      <c r="E53" s="3">
        <f t="shared" si="1"/>
        <v>51.384298508550025</v>
      </c>
      <c r="F53" s="3">
        <f t="shared" si="2"/>
        <v>2.0536309547932188</v>
      </c>
      <c r="G53" s="3">
        <f t="shared" si="3"/>
        <v>49.430454190987213</v>
      </c>
      <c r="H53" s="3">
        <f t="shared" si="4"/>
        <v>7.4683240829884312E-2</v>
      </c>
    </row>
    <row r="54" spans="1:8" x14ac:dyDescent="0.25">
      <c r="A54" s="3">
        <f t="shared" si="5"/>
        <v>42</v>
      </c>
      <c r="B54" s="3">
        <f t="shared" si="6"/>
        <v>42</v>
      </c>
      <c r="C54" s="3">
        <f t="shared" si="7"/>
        <v>51.396850206750287</v>
      </c>
      <c r="D54" s="3">
        <f t="shared" si="0"/>
        <v>2.053780959352737</v>
      </c>
      <c r="E54" s="3">
        <f t="shared" si="1"/>
        <v>53.450631166103022</v>
      </c>
      <c r="F54" s="3">
        <f t="shared" si="2"/>
        <v>2.077472291028565</v>
      </c>
      <c r="G54" s="3">
        <f t="shared" si="3"/>
        <v>51.472657764372279</v>
      </c>
      <c r="H54" s="3">
        <f t="shared" si="4"/>
        <v>7.5807557621992316E-2</v>
      </c>
    </row>
    <row r="55" spans="1:8" x14ac:dyDescent="0.25">
      <c r="A55" s="3">
        <f t="shared" si="5"/>
        <v>43</v>
      </c>
      <c r="B55" s="3">
        <f t="shared" si="6"/>
        <v>43</v>
      </c>
      <c r="C55" s="3">
        <f t="shared" si="7"/>
        <v>53.46247683194094</v>
      </c>
      <c r="D55" s="3">
        <f t="shared" si="0"/>
        <v>2.0776040971853673</v>
      </c>
      <c r="E55" s="3">
        <f t="shared" si="1"/>
        <v>55.540080929126304</v>
      </c>
      <c r="F55" s="3">
        <f t="shared" si="2"/>
        <v>2.0998902546065019</v>
      </c>
      <c r="G55" s="3">
        <f t="shared" si="3"/>
        <v>53.539348486403277</v>
      </c>
      <c r="H55" s="3">
        <f t="shared" si="4"/>
        <v>7.6871654462337347E-2</v>
      </c>
    </row>
    <row r="56" spans="1:8" x14ac:dyDescent="0.25">
      <c r="A56" s="3">
        <f t="shared" si="5"/>
        <v>44</v>
      </c>
      <c r="B56" s="3">
        <f t="shared" si="6"/>
        <v>44</v>
      </c>
      <c r="C56" s="3">
        <f t="shared" si="7"/>
        <v>55.551224007836872</v>
      </c>
      <c r="D56" s="3">
        <f t="shared" si="0"/>
        <v>2.1000053989861343</v>
      </c>
      <c r="E56" s="3">
        <f t="shared" si="1"/>
        <v>57.651229406823006</v>
      </c>
      <c r="F56" s="3">
        <f t="shared" si="2"/>
        <v>2.1208957486630307</v>
      </c>
      <c r="G56" s="3">
        <f t="shared" si="3"/>
        <v>55.629100025517815</v>
      </c>
      <c r="H56" s="3">
        <f t="shared" si="4"/>
        <v>7.7876017680942766E-2</v>
      </c>
    </row>
    <row r="57" spans="1:8" x14ac:dyDescent="0.25">
      <c r="A57" s="3">
        <f t="shared" si="5"/>
        <v>45</v>
      </c>
      <c r="B57" s="3">
        <f t="shared" si="6"/>
        <v>45</v>
      </c>
      <c r="C57" s="3">
        <f t="shared" si="7"/>
        <v>57.661674581661458</v>
      </c>
      <c r="D57" s="3">
        <f t="shared" si="0"/>
        <v>2.1209956918108008</v>
      </c>
      <c r="E57" s="3">
        <f t="shared" si="1"/>
        <v>59.782670273472256</v>
      </c>
      <c r="F57" s="3">
        <f t="shared" si="2"/>
        <v>2.1405018937714972</v>
      </c>
      <c r="G57" s="3">
        <f t="shared" si="3"/>
        <v>57.740495816825103</v>
      </c>
      <c r="H57" s="3">
        <f t="shared" si="4"/>
        <v>7.8821235163644587E-2</v>
      </c>
    </row>
    <row r="58" spans="1:8" x14ac:dyDescent="0.25">
      <c r="A58" s="3">
        <f t="shared" si="5"/>
        <v>46</v>
      </c>
      <c r="B58" s="3">
        <f t="shared" si="6"/>
        <v>46</v>
      </c>
      <c r="C58" s="3">
        <f t="shared" si="7"/>
        <v>59.792423374452611</v>
      </c>
      <c r="D58" s="3">
        <f t="shared" si="0"/>
        <v>2.140588021513536</v>
      </c>
      <c r="E58" s="3">
        <f t="shared" si="1"/>
        <v>61.933011395966147</v>
      </c>
      <c r="F58" s="3">
        <f t="shared" si="2"/>
        <v>2.1587238534504278</v>
      </c>
      <c r="G58" s="3">
        <f t="shared" si="3"/>
        <v>59.87213136145516</v>
      </c>
      <c r="H58" s="3">
        <f t="shared" si="4"/>
        <v>7.9707987002549885E-2</v>
      </c>
    </row>
    <row r="59" spans="1:8" x14ac:dyDescent="0.25">
      <c r="A59" s="3">
        <f t="shared" si="5"/>
        <v>47</v>
      </c>
      <c r="B59" s="3">
        <f t="shared" si="6"/>
        <v>47</v>
      </c>
      <c r="C59" s="3">
        <f t="shared" si="7"/>
        <v>61.942079311934592</v>
      </c>
      <c r="D59" s="3">
        <f t="shared" si="0"/>
        <v>2.1587974784611292</v>
      </c>
      <c r="E59" s="3">
        <f t="shared" si="1"/>
        <v>64.100876790395716</v>
      </c>
      <c r="F59" s="3">
        <f t="shared" si="2"/>
        <v>2.1755786666590033</v>
      </c>
      <c r="G59" s="3">
        <f t="shared" si="3"/>
        <v>62.022616348604565</v>
      </c>
      <c r="H59" s="3">
        <f t="shared" si="4"/>
        <v>8.0537036669973361E-2</v>
      </c>
    </row>
    <row r="60" spans="1:8" x14ac:dyDescent="0.25">
      <c r="A60" s="3">
        <f t="shared" si="5"/>
        <v>48</v>
      </c>
      <c r="B60" s="3">
        <f t="shared" si="6"/>
        <v>48</v>
      </c>
      <c r="C60" s="3">
        <f t="shared" si="7"/>
        <v>64.109267384494657</v>
      </c>
      <c r="D60" s="3">
        <f t="shared" si="0"/>
        <v>2.1756410302011226</v>
      </c>
      <c r="E60" s="3">
        <f t="shared" si="1"/>
        <v>66.284908414695778</v>
      </c>
      <c r="F60" s="3">
        <f t="shared" si="2"/>
        <v>2.1910850873102974</v>
      </c>
      <c r="G60" s="3">
        <f t="shared" si="3"/>
        <v>64.190576607194032</v>
      </c>
      <c r="H60" s="3">
        <f t="shared" si="4"/>
        <v>8.1309222699374573E-2</v>
      </c>
    </row>
    <row r="61" spans="1:8" x14ac:dyDescent="0.25">
      <c r="A61" s="3">
        <f t="shared" si="5"/>
        <v>49</v>
      </c>
      <c r="B61" s="3">
        <f t="shared" si="6"/>
        <v>49</v>
      </c>
      <c r="C61" s="3">
        <f t="shared" si="7"/>
        <v>66.292630443250374</v>
      </c>
      <c r="D61" s="3">
        <f t="shared" si="0"/>
        <v>2.1911373611175087</v>
      </c>
      <c r="E61" s="3">
        <f t="shared" si="1"/>
        <v>68.483767804367886</v>
      </c>
      <c r="F61" s="3">
        <f t="shared" si="2"/>
        <v>2.2052634307940329</v>
      </c>
      <c r="G61" s="3">
        <f t="shared" si="3"/>
        <v>66.374655894107804</v>
      </c>
      <c r="H61" s="3">
        <f t="shared" si="4"/>
        <v>8.2025450857429405E-2</v>
      </c>
    </row>
    <row r="62" spans="1:8" x14ac:dyDescent="0.25">
      <c r="A62" s="3">
        <f t="shared" si="5"/>
        <v>50</v>
      </c>
      <c r="B62" s="3">
        <f t="shared" si="6"/>
        <v>50</v>
      </c>
      <c r="C62" s="3">
        <f t="shared" si="7"/>
        <v>68.49083083920614</v>
      </c>
      <c r="D62" s="3">
        <f t="shared" si="0"/>
        <v>2.2053067190688949</v>
      </c>
      <c r="E62" s="3">
        <f t="shared" si="1"/>
        <v>70.696137558275041</v>
      </c>
      <c r="F62" s="3">
        <f t="shared" si="2"/>
        <v>2.2181354274670708</v>
      </c>
      <c r="G62" s="3">
        <f t="shared" si="3"/>
        <v>68.573517525994632</v>
      </c>
      <c r="H62" s="3">
        <f t="shared" si="4"/>
        <v>8.268668678849167E-2</v>
      </c>
    </row>
    <row r="63" spans="1:8" x14ac:dyDescent="0.25">
      <c r="A63" s="3">
        <f t="shared" si="5"/>
        <v>51</v>
      </c>
      <c r="B63" s="3">
        <f t="shared" si="6"/>
        <v>51</v>
      </c>
      <c r="C63" s="3">
        <f t="shared" si="7"/>
        <v>70.702551912474121</v>
      </c>
      <c r="D63" s="3">
        <f t="shared" si="0"/>
        <v>2.218170768970261</v>
      </c>
      <c r="E63" s="3">
        <f t="shared" si="1"/>
        <v>72.920722681444389</v>
      </c>
      <c r="F63" s="3">
        <f t="shared" si="2"/>
        <v>2.2297240830407987</v>
      </c>
      <c r="G63" s="3">
        <f t="shared" si="3"/>
        <v>70.785845861588285</v>
      </c>
      <c r="H63" s="3">
        <f t="shared" si="4"/>
        <v>8.3293949114164434E-2</v>
      </c>
    </row>
    <row r="64" spans="1:8" x14ac:dyDescent="0.25">
      <c r="A64" s="3">
        <f t="shared" si="5"/>
        <v>52</v>
      </c>
      <c r="B64" s="3">
        <f t="shared" si="6"/>
        <v>52</v>
      </c>
      <c r="C64" s="3">
        <f t="shared" si="7"/>
        <v>72.926499338479644</v>
      </c>
      <c r="D64" s="3">
        <f t="shared" si="0"/>
        <v>2.2297524532500925</v>
      </c>
      <c r="E64" s="3">
        <f t="shared" si="1"/>
        <v>75.15625179172973</v>
      </c>
      <c r="F64" s="3">
        <f t="shared" si="2"/>
        <v>2.2400535457694959</v>
      </c>
      <c r="G64" s="3">
        <f t="shared" si="3"/>
        <v>73.010347641449798</v>
      </c>
      <c r="H64" s="3">
        <f t="shared" si="4"/>
        <v>8.3848302970153554E-2</v>
      </c>
    </row>
    <row r="65" spans="1:8" x14ac:dyDescent="0.25">
      <c r="A65" s="3">
        <f t="shared" si="5"/>
        <v>53</v>
      </c>
      <c r="B65" s="3">
        <f t="shared" si="6"/>
        <v>53</v>
      </c>
      <c r="C65" s="3">
        <f t="shared" si="7"/>
        <v>75.161402337989443</v>
      </c>
      <c r="D65" s="3">
        <f t="shared" si="0"/>
        <v>2.2400758590893948</v>
      </c>
      <c r="E65" s="3">
        <f t="shared" si="1"/>
        <v>77.401478197078845</v>
      </c>
      <c r="F65" s="3">
        <f t="shared" si="2"/>
        <v>2.2491489803224054</v>
      </c>
      <c r="G65" s="3">
        <f t="shared" si="3"/>
        <v>75.245753191949689</v>
      </c>
      <c r="H65" s="3">
        <f t="shared" si="4"/>
        <v>8.4350853960245331E-2</v>
      </c>
    </row>
    <row r="66" spans="1:8" x14ac:dyDescent="0.25">
      <c r="A66" s="3">
        <f t="shared" si="5"/>
        <v>54</v>
      </c>
      <c r="B66" s="3">
        <f t="shared" si="6"/>
        <v>54</v>
      </c>
      <c r="C66" s="3">
        <f t="shared" si="7"/>
        <v>77.406014757695345</v>
      </c>
      <c r="D66" s="3">
        <f t="shared" si="0"/>
        <v>2.2491660923275014</v>
      </c>
      <c r="E66" s="3">
        <f t="shared" si="1"/>
        <v>79.655180850022845</v>
      </c>
      <c r="F66" s="3">
        <f t="shared" si="2"/>
        <v>2.2570364482040026</v>
      </c>
      <c r="G66" s="3">
        <f t="shared" si="3"/>
        <v>77.490817500206362</v>
      </c>
      <c r="H66" s="3">
        <f t="shared" si="4"/>
        <v>8.4802742511016049E-2</v>
      </c>
    </row>
    <row r="67" spans="1:8" x14ac:dyDescent="0.25">
      <c r="A67" s="3">
        <f t="shared" si="5"/>
        <v>55</v>
      </c>
      <c r="B67" s="3">
        <f t="shared" si="6"/>
        <v>55</v>
      </c>
      <c r="C67" s="3">
        <f t="shared" si="7"/>
        <v>79.65911602796109</v>
      </c>
      <c r="D67" s="3">
        <f t="shared" si="0"/>
        <v>2.2570491579010934</v>
      </c>
      <c r="E67" s="3">
        <f t="shared" si="1"/>
        <v>81.916165185862184</v>
      </c>
      <c r="F67" s="3">
        <f t="shared" si="2"/>
        <v>2.2637427945717468</v>
      </c>
      <c r="G67" s="3">
        <f t="shared" si="3"/>
        <v>79.744321166568781</v>
      </c>
      <c r="H67" s="3">
        <f t="shared" si="4"/>
        <v>8.5205138607690856E-2</v>
      </c>
    </row>
    <row r="68" spans="1:8" x14ac:dyDescent="0.25">
      <c r="A68" s="3">
        <f t="shared" si="5"/>
        <v>56</v>
      </c>
      <c r="B68" s="3">
        <f t="shared" si="6"/>
        <v>56</v>
      </c>
      <c r="C68" s="3">
        <f t="shared" si="7"/>
        <v>81.919512004197514</v>
      </c>
      <c r="D68" s="3">
        <f t="shared" si="0"/>
        <v>2.2637518466676143</v>
      </c>
      <c r="E68" s="3">
        <f t="shared" si="1"/>
        <v>84.183263850865131</v>
      </c>
      <c r="F68" s="3">
        <f t="shared" si="2"/>
        <v>2.2692955412880047</v>
      </c>
      <c r="G68" s="3">
        <f t="shared" si="3"/>
        <v>82.005071241090803</v>
      </c>
      <c r="H68" s="3">
        <f t="shared" si="4"/>
        <v>8.5559236893288926E-2</v>
      </c>
    </row>
    <row r="69" spans="1:8" x14ac:dyDescent="0.25">
      <c r="A69" s="3">
        <f t="shared" si="5"/>
        <v>57</v>
      </c>
      <c r="B69" s="3">
        <f t="shared" si="6"/>
        <v>57</v>
      </c>
      <c r="C69" s="3">
        <f t="shared" si="7"/>
        <v>84.186035698175317</v>
      </c>
      <c r="D69" s="3">
        <f t="shared" si="0"/>
        <v>2.2693016284513106</v>
      </c>
      <c r="E69" s="3">
        <f t="shared" si="1"/>
        <v>86.455337326626633</v>
      </c>
      <c r="F69" s="3">
        <f t="shared" si="2"/>
        <v>2.2737227860325508</v>
      </c>
      <c r="G69" s="3">
        <f t="shared" si="3"/>
        <v>84.271901950289362</v>
      </c>
      <c r="H69" s="3">
        <f t="shared" si="4"/>
        <v>8.5866252114044528E-2</v>
      </c>
    </row>
    <row r="70" spans="1:8" x14ac:dyDescent="0.25">
      <c r="A70" s="3">
        <f t="shared" si="5"/>
        <v>58</v>
      </c>
      <c r="B70" s="3">
        <f t="shared" si="6"/>
        <v>58</v>
      </c>
      <c r="C70" s="3">
        <f t="shared" si="7"/>
        <v>86.457547905417243</v>
      </c>
      <c r="D70" s="3">
        <f t="shared" si="0"/>
        <v>2.273726551139823</v>
      </c>
      <c r="E70" s="3">
        <f t="shared" si="1"/>
        <v>88.73127445655706</v>
      </c>
      <c r="F70" s="3">
        <f t="shared" si="2"/>
        <v>2.2770531072939111</v>
      </c>
      <c r="G70" s="3">
        <f t="shared" si="3"/>
        <v>86.5436753203102</v>
      </c>
      <c r="H70" s="3">
        <f t="shared" si="4"/>
        <v>8.6127414892956722E-2</v>
      </c>
    </row>
    <row r="71" spans="1:8" x14ac:dyDescent="0.25">
      <c r="A71" s="3">
        <f t="shared" si="5"/>
        <v>59</v>
      </c>
      <c r="B71" s="3">
        <f t="shared" si="6"/>
        <v>59</v>
      </c>
      <c r="C71" s="3">
        <f t="shared" si="7"/>
        <v>88.732937734634106</v>
      </c>
      <c r="D71" s="3">
        <f t="shared" si="0"/>
        <v>2.2770551456509223</v>
      </c>
      <c r="E71" s="3">
        <f t="shared" si="1"/>
        <v>91.009992880285026</v>
      </c>
      <c r="F71" s="3">
        <f t="shared" si="2"/>
        <v>2.2793154750515039</v>
      </c>
      <c r="G71" s="3">
        <f t="shared" si="3"/>
        <v>88.819281702448691</v>
      </c>
      <c r="H71" s="3">
        <f t="shared" si="4"/>
        <v>8.6343967814585199E-2</v>
      </c>
    </row>
    <row r="72" spans="1:8" x14ac:dyDescent="0.25">
      <c r="A72" s="3">
        <f t="shared" si="5"/>
        <v>60</v>
      </c>
      <c r="B72" s="3">
        <f t="shared" si="6"/>
        <v>60</v>
      </c>
      <c r="C72" s="3">
        <f t="shared" si="7"/>
        <v>91.011123044985325</v>
      </c>
      <c r="D72" s="3">
        <f t="shared" si="0"/>
        <v>2.2793163365825726</v>
      </c>
      <c r="E72" s="3">
        <f t="shared" si="1"/>
        <v>93.290439381567893</v>
      </c>
      <c r="F72" s="3">
        <f t="shared" si="2"/>
        <v>2.280539166955962</v>
      </c>
      <c r="G72" s="3">
        <f t="shared" si="3"/>
        <v>91.097640206791141</v>
      </c>
      <c r="H72" s="3">
        <f t="shared" si="4"/>
        <v>8.651716180581559E-2</v>
      </c>
    </row>
    <row r="73" spans="1:8" x14ac:dyDescent="0.25">
      <c r="A73" s="3">
        <f t="shared" si="5"/>
        <v>61</v>
      </c>
      <c r="B73" s="3">
        <f t="shared" si="6"/>
        <v>61</v>
      </c>
      <c r="C73" s="3">
        <f t="shared" si="7"/>
        <v>93.29105079675459</v>
      </c>
      <c r="D73" s="3">
        <f t="shared" si="0"/>
        <v>2.2805393583547393</v>
      </c>
      <c r="E73" s="3">
        <f t="shared" si="1"/>
        <v>95.571590155109334</v>
      </c>
      <c r="F73" s="3">
        <f t="shared" si="2"/>
        <v>2.2807536898118279</v>
      </c>
      <c r="G73" s="3">
        <f t="shared" si="3"/>
        <v>93.377699049549577</v>
      </c>
      <c r="H73" s="3">
        <f t="shared" si="4"/>
        <v>8.6648252794987002E-2</v>
      </c>
    </row>
    <row r="74" spans="1:8" x14ac:dyDescent="0.25">
      <c r="A74" s="3">
        <f t="shared" si="5"/>
        <v>62</v>
      </c>
      <c r="B74" s="3">
        <f t="shared" si="6"/>
        <v>62</v>
      </c>
      <c r="C74" s="3">
        <f t="shared" si="7"/>
        <v>95.57169732083787</v>
      </c>
      <c r="D74" s="3">
        <f t="shared" si="0"/>
        <v>2.28075367664816</v>
      </c>
      <c r="E74" s="3">
        <f t="shared" si="1"/>
        <v>97.852450997486031</v>
      </c>
      <c r="F74" s="3">
        <f t="shared" si="2"/>
        <v>2.2799887061649864</v>
      </c>
      <c r="G74" s="3">
        <f t="shared" si="3"/>
        <v>95.65843581947334</v>
      </c>
      <c r="H74" s="3">
        <f t="shared" si="4"/>
        <v>8.6738498635469341E-2</v>
      </c>
    </row>
    <row r="75" spans="1:8" x14ac:dyDescent="0.25">
      <c r="A75" s="3">
        <f t="shared" si="5"/>
        <v>63</v>
      </c>
      <c r="B75" s="3">
        <f t="shared" si="6"/>
        <v>63</v>
      </c>
      <c r="C75" s="3">
        <f t="shared" si="7"/>
        <v>97.852068512244443</v>
      </c>
      <c r="D75" s="3">
        <f t="shared" si="0"/>
        <v>2.2799889149433272</v>
      </c>
      <c r="E75" s="3">
        <f t="shared" si="1"/>
        <v>100.13205742718777</v>
      </c>
      <c r="F75" s="3">
        <f t="shared" si="2"/>
        <v>2.2782739657965303</v>
      </c>
      <c r="G75" s="3">
        <f t="shared" si="3"/>
        <v>97.938857668522829</v>
      </c>
      <c r="H75" s="3">
        <f t="shared" si="4"/>
        <v>8.6789156278385349E-2</v>
      </c>
    </row>
    <row r="76" spans="1:8" x14ac:dyDescent="0.25">
      <c r="A76" s="3">
        <f t="shared" si="5"/>
        <v>64</v>
      </c>
      <c r="B76" s="3">
        <f t="shared" si="6"/>
        <v>64</v>
      </c>
      <c r="C76" s="3">
        <f t="shared" si="7"/>
        <v>100.13119995261437</v>
      </c>
      <c r="D76" s="3">
        <f t="shared" ref="D76:D139" si="8">$B$3*C76^(3/4)*(1-(C76/$B$4)^(1/4))</f>
        <v>2.2782747859621191</v>
      </c>
      <c r="E76" s="3">
        <f t="shared" ref="E76:E139" si="9">C76+$B$6*D76</f>
        <v>102.40947473857649</v>
      </c>
      <c r="F76" s="3">
        <f t="shared" ref="F76:F139" si="10">$B$3*E76^(3/4)*(1-(E76/$B$4)^(1/4))</f>
        <v>2.2756392419250298</v>
      </c>
      <c r="G76" s="3">
        <f t="shared" ref="G76:G139" si="11">( $B$8 + ($B$9-$B$8)*EXP(-$B$3*B76/(4*$B$8)) )^4</f>
        <v>100.21800143179351</v>
      </c>
      <c r="H76" s="3">
        <f t="shared" ref="H76:H139" si="12">ABS(C76-G76)</f>
        <v>8.6801479179143826E-2</v>
      </c>
    </row>
    <row r="77" spans="1:8" x14ac:dyDescent="0.25">
      <c r="A77" s="3">
        <f t="shared" ref="A77:A140" si="13">A76+1</f>
        <v>65</v>
      </c>
      <c r="B77" s="3">
        <f t="shared" ref="B77:B140" si="14">B76+$B$6</f>
        <v>65</v>
      </c>
      <c r="C77" s="3">
        <f t="shared" ref="C77:C140" si="15">C76+($B$6/2)*(D76+F76)</f>
        <v>102.40815696655794</v>
      </c>
      <c r="D77" s="3">
        <f t="shared" si="8"/>
        <v>2.2756410278148196</v>
      </c>
      <c r="E77" s="3">
        <f t="shared" si="9"/>
        <v>104.68379799437275</v>
      </c>
      <c r="F77" s="3">
        <f t="shared" si="10"/>
        <v>2.2721142719204193</v>
      </c>
      <c r="G77" s="3">
        <f t="shared" si="11"/>
        <v>102.49493368148504</v>
      </c>
      <c r="H77" s="3">
        <f t="shared" si="12"/>
        <v>8.6776714927097487E-2</v>
      </c>
    </row>
    <row r="78" spans="1:8" x14ac:dyDescent="0.25">
      <c r="A78" s="3">
        <f t="shared" si="13"/>
        <v>66</v>
      </c>
      <c r="B78" s="3">
        <f t="shared" si="14"/>
        <v>66</v>
      </c>
      <c r="C78" s="3">
        <f t="shared" si="15"/>
        <v>104.68203461642555</v>
      </c>
      <c r="D78" s="3">
        <f t="shared" si="8"/>
        <v>2.2721173446563245</v>
      </c>
      <c r="E78" s="3">
        <f t="shared" si="9"/>
        <v>106.95415196108188</v>
      </c>
      <c r="F78" s="3">
        <f t="shared" si="10"/>
        <v>2.2677287023346344</v>
      </c>
      <c r="G78" s="3">
        <f t="shared" si="11"/>
        <v>104.76875071950661</v>
      </c>
      <c r="H78" s="3">
        <f t="shared" si="12"/>
        <v>8.6716103081059259E-2</v>
      </c>
    </row>
    <row r="79" spans="1:8" x14ac:dyDescent="0.25">
      <c r="A79" s="3">
        <f t="shared" si="13"/>
        <v>67</v>
      </c>
      <c r="B79" s="3">
        <f t="shared" si="14"/>
        <v>67</v>
      </c>
      <c r="C79" s="3">
        <f t="shared" si="15"/>
        <v>106.95195763992103</v>
      </c>
      <c r="D79" s="3">
        <f t="shared" si="8"/>
        <v>2.2677333516572529</v>
      </c>
      <c r="E79" s="3">
        <f t="shared" si="9"/>
        <v>109.21969099157829</v>
      </c>
      <c r="F79" s="3">
        <f t="shared" si="10"/>
        <v>2.2625120380567574</v>
      </c>
      <c r="G79" s="3">
        <f t="shared" si="11"/>
        <v>107.03857851312314</v>
      </c>
      <c r="H79" s="3">
        <f t="shared" si="12"/>
        <v>8.6620873202107873E-2</v>
      </c>
    </row>
    <row r="80" spans="1:8" x14ac:dyDescent="0.25">
      <c r="A80" s="3">
        <f t="shared" si="13"/>
        <v>68</v>
      </c>
      <c r="B80" s="3">
        <f t="shared" si="14"/>
        <v>68</v>
      </c>
      <c r="C80" s="3">
        <f t="shared" si="15"/>
        <v>109.21708033477803</v>
      </c>
      <c r="D80" s="3">
        <f t="shared" si="8"/>
        <v>2.2625185240982293</v>
      </c>
      <c r="E80" s="3">
        <f t="shared" si="9"/>
        <v>111.47959885887626</v>
      </c>
      <c r="F80" s="3">
        <f t="shared" si="10"/>
        <v>2.2564935954036422</v>
      </c>
      <c r="G80" s="3">
        <f t="shared" si="11"/>
        <v>109.30357257784695</v>
      </c>
      <c r="H80" s="3">
        <f t="shared" si="12"/>
        <v>8.6492243068917674E-2</v>
      </c>
    </row>
    <row r="81" spans="1:8" x14ac:dyDescent="0.25">
      <c r="A81" s="3">
        <f t="shared" si="13"/>
        <v>69</v>
      </c>
      <c r="B81" s="3">
        <f t="shared" si="14"/>
        <v>69</v>
      </c>
      <c r="C81" s="3">
        <f t="shared" si="15"/>
        <v>111.47658639452897</v>
      </c>
      <c r="D81" s="3">
        <f t="shared" si="8"/>
        <v>2.2565021503987324</v>
      </c>
      <c r="E81" s="3">
        <f t="shared" si="9"/>
        <v>113.7330885449277</v>
      </c>
      <c r="F81" s="3">
        <f t="shared" si="10"/>
        <v>2.2497024589606283</v>
      </c>
      <c r="G81" s="3">
        <f t="shared" si="11"/>
        <v>111.56291781159464</v>
      </c>
      <c r="H81" s="3">
        <f t="shared" si="12"/>
        <v>8.6331417065679261E-2</v>
      </c>
    </row>
    <row r="82" spans="1:8" x14ac:dyDescent="0.25">
      <c r="A82" s="3">
        <f t="shared" si="13"/>
        <v>70</v>
      </c>
      <c r="B82" s="3">
        <f t="shared" si="14"/>
        <v>70</v>
      </c>
      <c r="C82" s="3">
        <f t="shared" si="15"/>
        <v>113.72968869920865</v>
      </c>
      <c r="D82" s="3">
        <f t="shared" si="8"/>
        <v>2.2497132888955274</v>
      </c>
      <c r="E82" s="3">
        <f t="shared" si="9"/>
        <v>115.97940198810417</v>
      </c>
      <c r="F82" s="3">
        <f t="shared" si="10"/>
        <v>2.2421674419909965</v>
      </c>
      <c r="G82" s="3">
        <f t="shared" si="11"/>
        <v>113.81582828393958</v>
      </c>
      <c r="H82" s="3">
        <f t="shared" si="12"/>
        <v>8.6139584730929641E-2</v>
      </c>
    </row>
    <row r="83" spans="1:8" x14ac:dyDescent="0.25">
      <c r="A83" s="3">
        <f t="shared" si="13"/>
        <v>71</v>
      </c>
      <c r="B83" s="3">
        <f t="shared" si="14"/>
        <v>71</v>
      </c>
      <c r="C83" s="3">
        <f t="shared" si="15"/>
        <v>115.97562906465191</v>
      </c>
      <c r="D83" s="3">
        <f t="shared" si="8"/>
        <v>2.2421807281896826</v>
      </c>
      <c r="E83" s="3">
        <f t="shared" si="9"/>
        <v>118.21780979284159</v>
      </c>
      <c r="F83" s="3">
        <f t="shared" si="10"/>
        <v>2.2339170502373009</v>
      </c>
      <c r="G83" s="3">
        <f t="shared" si="11"/>
        <v>116.06154698410982</v>
      </c>
      <c r="H83" s="3">
        <f t="shared" si="12"/>
        <v>8.5917919457912717E-2</v>
      </c>
    </row>
    <row r="84" spans="1:8" x14ac:dyDescent="0.25">
      <c r="A84" s="3">
        <f t="shared" si="13"/>
        <v>72</v>
      </c>
      <c r="B84" s="3">
        <f t="shared" si="14"/>
        <v>72</v>
      </c>
      <c r="C84" s="3">
        <f t="shared" si="15"/>
        <v>118.2136779538654</v>
      </c>
      <c r="D84" s="3">
        <f t="shared" si="8"/>
        <v>2.2339329508855879</v>
      </c>
      <c r="E84" s="3">
        <f t="shared" si="9"/>
        <v>120.44761090475099</v>
      </c>
      <c r="F84" s="3">
        <f t="shared" si="10"/>
        <v>2.2249794489422867</v>
      </c>
      <c r="G84" s="3">
        <f t="shared" si="11"/>
        <v>118.29934553120046</v>
      </c>
      <c r="H84" s="3">
        <f t="shared" si="12"/>
        <v>8.5667577335058809E-2</v>
      </c>
    </row>
    <row r="85" spans="1:8" x14ac:dyDescent="0.25">
      <c r="A85" s="3">
        <f t="shared" si="13"/>
        <v>73</v>
      </c>
      <c r="B85" s="3">
        <f t="shared" si="14"/>
        <v>73</v>
      </c>
      <c r="C85" s="3">
        <f t="shared" si="15"/>
        <v>120.44313415377934</v>
      </c>
      <c r="D85" s="3">
        <f t="shared" si="8"/>
        <v>2.2249981005499935</v>
      </c>
      <c r="E85" s="3">
        <f t="shared" si="9"/>
        <v>122.66813225432934</v>
      </c>
      <c r="F85" s="3">
        <f t="shared" si="10"/>
        <v>2.215382432922103</v>
      </c>
      <c r="G85" s="3">
        <f t="shared" si="11"/>
        <v>120.52852384989838</v>
      </c>
      <c r="H85" s="3">
        <f t="shared" si="12"/>
        <v>8.5389696119037239E-2</v>
      </c>
    </row>
    <row r="86" spans="1:8" x14ac:dyDescent="0.25">
      <c r="A86" s="3">
        <f t="shared" si="13"/>
        <v>74</v>
      </c>
      <c r="B86" s="3">
        <f t="shared" si="14"/>
        <v>74</v>
      </c>
      <c r="C86" s="3">
        <f t="shared" si="15"/>
        <v>122.66332442051539</v>
      </c>
      <c r="D86" s="3">
        <f t="shared" si="8"/>
        <v>2.2154039517239457</v>
      </c>
      <c r="E86" s="3">
        <f t="shared" si="9"/>
        <v>124.87872837223934</v>
      </c>
      <c r="F86" s="3">
        <f t="shared" si="10"/>
        <v>2.2051533995294781</v>
      </c>
      <c r="G86" s="3">
        <f t="shared" si="11"/>
        <v>122.74840981484554</v>
      </c>
      <c r="H86" s="3">
        <f t="shared" si="12"/>
        <v>8.5085394330150166E-2</v>
      </c>
    </row>
    <row r="87" spans="1:8" x14ac:dyDescent="0.25">
      <c r="A87" s="3">
        <f t="shared" si="13"/>
        <v>75</v>
      </c>
      <c r="B87" s="3">
        <f t="shared" si="14"/>
        <v>75</v>
      </c>
      <c r="C87" s="3">
        <f t="shared" si="15"/>
        <v>124.87360309614211</v>
      </c>
      <c r="D87" s="3">
        <f t="shared" si="8"/>
        <v>2.2051778828255477</v>
      </c>
      <c r="E87" s="3">
        <f t="shared" si="9"/>
        <v>127.07878097896766</v>
      </c>
      <c r="F87" s="3">
        <f t="shared" si="10"/>
        <v>2.1943193243498329</v>
      </c>
      <c r="G87" s="3">
        <f t="shared" si="11"/>
        <v>124.95835886660417</v>
      </c>
      <c r="H87" s="3">
        <f t="shared" si="12"/>
        <v>8.4755770462066948E-2</v>
      </c>
    </row>
    <row r="88" spans="1:8" x14ac:dyDescent="0.25">
      <c r="A88" s="3">
        <f t="shared" si="13"/>
        <v>76</v>
      </c>
      <c r="B88" s="3">
        <f t="shared" si="14"/>
        <v>76</v>
      </c>
      <c r="C88" s="3">
        <f t="shared" si="15"/>
        <v>127.0733516997298</v>
      </c>
      <c r="D88" s="3">
        <f t="shared" si="8"/>
        <v>2.1943468517866531</v>
      </c>
      <c r="E88" s="3">
        <f t="shared" si="9"/>
        <v>129.26769855151645</v>
      </c>
      <c r="F88" s="3">
        <f t="shared" si="10"/>
        <v>2.1829067394784714</v>
      </c>
      <c r="G88" s="3">
        <f t="shared" si="11"/>
        <v>127.15775360202839</v>
      </c>
      <c r="H88" s="3">
        <f t="shared" si="12"/>
        <v>8.4401902298594678E-2</v>
      </c>
    </row>
    <row r="89" spans="1:8" x14ac:dyDescent="0.25">
      <c r="A89" s="3">
        <f t="shared" si="13"/>
        <v>77</v>
      </c>
      <c r="B89" s="3">
        <f t="shared" si="14"/>
        <v>77</v>
      </c>
      <c r="C89" s="3">
        <f t="shared" si="15"/>
        <v>129.26197849536237</v>
      </c>
      <c r="D89" s="3">
        <f t="shared" si="8"/>
        <v>2.1829373742717908</v>
      </c>
      <c r="E89" s="3">
        <f t="shared" si="9"/>
        <v>131.44491586963417</v>
      </c>
      <c r="F89" s="3">
        <f t="shared" si="10"/>
        <v>2.1709417142324243</v>
      </c>
      <c r="G89" s="3">
        <f t="shared" si="11"/>
        <v>129.34600334169133</v>
      </c>
      <c r="H89" s="3">
        <f t="shared" si="12"/>
        <v>8.4024846328958347E-2</v>
      </c>
    </row>
    <row r="90" spans="1:8" x14ac:dyDescent="0.25">
      <c r="A90" s="3">
        <f t="shared" si="13"/>
        <v>78</v>
      </c>
      <c r="B90" s="3">
        <f t="shared" si="14"/>
        <v>78</v>
      </c>
      <c r="C90" s="3">
        <f t="shared" si="15"/>
        <v>131.43891803961446</v>
      </c>
      <c r="D90" s="3">
        <f t="shared" si="8"/>
        <v>2.1709755043330055</v>
      </c>
      <c r="E90" s="3">
        <f t="shared" si="9"/>
        <v>133.60989354394746</v>
      </c>
      <c r="F90" s="3">
        <f t="shared" si="10"/>
        <v>2.1584498381557848</v>
      </c>
      <c r="G90" s="3">
        <f t="shared" si="11"/>
        <v>131.52254367686962</v>
      </c>
      <c r="H90" s="3">
        <f t="shared" si="12"/>
        <v>8.3625637255153151E-2</v>
      </c>
    </row>
    <row r="91" spans="1:8" x14ac:dyDescent="0.25">
      <c r="A91" s="3">
        <f t="shared" si="13"/>
        <v>79</v>
      </c>
      <c r="B91" s="3">
        <f t="shared" si="14"/>
        <v>79</v>
      </c>
      <c r="C91" s="3">
        <f t="shared" si="15"/>
        <v>133.60363071085885</v>
      </c>
      <c r="D91" s="3">
        <f t="shared" si="8"/>
        <v>2.1584868173595844</v>
      </c>
      <c r="E91" s="3">
        <f t="shared" si="9"/>
        <v>135.76211752821843</v>
      </c>
      <c r="F91" s="3">
        <f t="shared" si="10"/>
        <v>2.1454562061828062</v>
      </c>
      <c r="G91" s="3">
        <f t="shared" si="11"/>
        <v>133.68683599844303</v>
      </c>
      <c r="H91" s="3">
        <f t="shared" si="12"/>
        <v>8.3205287584178222E-2</v>
      </c>
    </row>
    <row r="92" spans="1:8" x14ac:dyDescent="0.25">
      <c r="A92" s="3">
        <f t="shared" si="13"/>
        <v>80</v>
      </c>
      <c r="B92" s="3">
        <f t="shared" si="14"/>
        <v>80</v>
      </c>
      <c r="C92" s="3">
        <f t="shared" si="15"/>
        <v>135.75560222263005</v>
      </c>
      <c r="D92" s="3">
        <f t="shared" si="8"/>
        <v>2.1454963951869859</v>
      </c>
      <c r="E92" s="3">
        <f t="shared" si="9"/>
        <v>137.90109861781704</v>
      </c>
      <c r="F92" s="3">
        <f t="shared" si="10"/>
        <v>2.1319854058283036</v>
      </c>
      <c r="G92" s="3">
        <f t="shared" si="11"/>
        <v>135.83836700992967</v>
      </c>
      <c r="H92" s="3">
        <f t="shared" si="12"/>
        <v>8.2764787299623777E-2</v>
      </c>
    </row>
    <row r="93" spans="1:8" x14ac:dyDescent="0.25">
      <c r="A93" s="3">
        <f t="shared" si="13"/>
        <v>81</v>
      </c>
      <c r="B93" s="3">
        <f t="shared" si="14"/>
        <v>81</v>
      </c>
      <c r="C93" s="3">
        <f t="shared" si="15"/>
        <v>137.8943431231377</v>
      </c>
      <c r="D93" s="3">
        <f t="shared" si="8"/>
        <v>2.1320288132345904</v>
      </c>
      <c r="E93" s="3">
        <f t="shared" si="9"/>
        <v>140.0263719363723</v>
      </c>
      <c r="F93" s="3">
        <f t="shared" si="10"/>
        <v>2.1180615062801924</v>
      </c>
      <c r="G93" s="3">
        <f t="shared" si="11"/>
        <v>137.97664822674338</v>
      </c>
      <c r="H93" s="3">
        <f t="shared" si="12"/>
        <v>8.2305103605676777E-2</v>
      </c>
    </row>
    <row r="94" spans="1:8" x14ac:dyDescent="0.25">
      <c r="A94" s="3">
        <f t="shared" si="13"/>
        <v>82</v>
      </c>
      <c r="B94" s="3">
        <f t="shared" si="14"/>
        <v>82</v>
      </c>
      <c r="C94" s="3">
        <f t="shared" si="15"/>
        <v>140.01938828289508</v>
      </c>
      <c r="D94" s="3">
        <f t="shared" si="8"/>
        <v>2.1181081295471835</v>
      </c>
      <c r="E94" s="3">
        <f t="shared" si="9"/>
        <v>142.13749641244226</v>
      </c>
      <c r="F94" s="3">
        <f t="shared" si="10"/>
        <v>2.1037080492742222</v>
      </c>
      <c r="G94" s="3">
        <f t="shared" si="11"/>
        <v>140.10121546363385</v>
      </c>
      <c r="H94" s="3">
        <f t="shared" si="12"/>
        <v>8.1827180738770267E-2</v>
      </c>
    </row>
    <row r="95" spans="1:8" x14ac:dyDescent="0.25">
      <c r="A95" s="3">
        <f t="shared" si="13"/>
        <v>83</v>
      </c>
      <c r="B95" s="3">
        <f t="shared" si="14"/>
        <v>83</v>
      </c>
      <c r="C95" s="3">
        <f t="shared" si="15"/>
        <v>142.13029637230579</v>
      </c>
      <c r="D95" s="3">
        <f t="shared" si="8"/>
        <v>2.1037578756202135</v>
      </c>
      <c r="E95" s="3">
        <f t="shared" si="9"/>
        <v>144.234054247926</v>
      </c>
      <c r="F95" s="3">
        <f t="shared" si="10"/>
        <v>2.0889480416360739</v>
      </c>
      <c r="G95" s="3">
        <f t="shared" si="11"/>
        <v>142.21162831214679</v>
      </c>
      <c r="H95" s="3">
        <f t="shared" si="12"/>
        <v>8.1331939840993073E-2</v>
      </c>
    </row>
    <row r="96" spans="1:8" x14ac:dyDescent="0.25">
      <c r="A96" s="3">
        <f t="shared" si="13"/>
        <v>84</v>
      </c>
      <c r="B96" s="3">
        <f t="shared" si="14"/>
        <v>84</v>
      </c>
      <c r="C96" s="3">
        <f t="shared" si="15"/>
        <v>144.22664933093392</v>
      </c>
      <c r="D96" s="3">
        <f t="shared" si="8"/>
        <v>2.089001048894088</v>
      </c>
      <c r="E96" s="3">
        <f t="shared" si="9"/>
        <v>146.31565037982801</v>
      </c>
      <c r="F96" s="3">
        <f t="shared" si="10"/>
        <v>2.0738039493810545</v>
      </c>
      <c r="G96" s="3">
        <f t="shared" si="11"/>
        <v>144.30746960982441</v>
      </c>
      <c r="H96" s="3">
        <f t="shared" si="12"/>
        <v>8.0820278890485042E-2</v>
      </c>
    </row>
    <row r="97" spans="1:8" x14ac:dyDescent="0.25">
      <c r="A97" s="3">
        <f t="shared" si="13"/>
        <v>85</v>
      </c>
      <c r="B97" s="3">
        <f t="shared" si="14"/>
        <v>85</v>
      </c>
      <c r="C97" s="3">
        <f t="shared" si="15"/>
        <v>146.30805183007149</v>
      </c>
      <c r="D97" s="3">
        <f t="shared" si="8"/>
        <v>2.0738601068076812</v>
      </c>
      <c r="E97" s="3">
        <f t="shared" si="9"/>
        <v>148.38191193687916</v>
      </c>
      <c r="F97" s="3">
        <f t="shared" si="10"/>
        <v>2.0582976932665242</v>
      </c>
      <c r="G97" s="3">
        <f t="shared" si="11"/>
        <v>146.38834490275579</v>
      </c>
      <c r="H97" s="3">
        <f t="shared" si="12"/>
        <v>8.029307268429875E-2</v>
      </c>
    </row>
    <row r="98" spans="1:8" x14ac:dyDescent="0.25">
      <c r="A98" s="3">
        <f t="shared" si="13"/>
        <v>86</v>
      </c>
      <c r="B98" s="3">
        <f t="shared" si="14"/>
        <v>86</v>
      </c>
      <c r="C98" s="3">
        <f t="shared" si="15"/>
        <v>148.37413073010859</v>
      </c>
      <c r="D98" s="3">
        <f t="shared" si="8"/>
        <v>2.0583569623062612</v>
      </c>
      <c r="E98" s="3">
        <f t="shared" si="9"/>
        <v>150.43248769241484</v>
      </c>
      <c r="F98" s="3">
        <f t="shared" si="10"/>
        <v>2.0424506456970497</v>
      </c>
      <c r="G98" s="3">
        <f t="shared" si="11"/>
        <v>148.45388190297814</v>
      </c>
      <c r="H98" s="3">
        <f t="shared" si="12"/>
        <v>7.9751172869549691E-2</v>
      </c>
    </row>
    <row r="99" spans="1:8" x14ac:dyDescent="0.25">
      <c r="A99" s="3">
        <f t="shared" si="13"/>
        <v>87</v>
      </c>
      <c r="B99" s="3">
        <f t="shared" si="14"/>
        <v>87</v>
      </c>
      <c r="C99" s="3">
        <f t="shared" si="15"/>
        <v>150.42453453411025</v>
      </c>
      <c r="D99" s="3">
        <f t="shared" si="8"/>
        <v>2.0425129807037892</v>
      </c>
      <c r="E99" s="3">
        <f t="shared" si="9"/>
        <v>152.46704751481403</v>
      </c>
      <c r="F99" s="3">
        <f t="shared" si="10"/>
        <v>2.0262836288869606</v>
      </c>
      <c r="G99" s="3">
        <f t="shared" si="11"/>
        <v>150.50372994212802</v>
      </c>
      <c r="H99" s="3">
        <f t="shared" si="12"/>
        <v>7.9195408017767477E-2</v>
      </c>
    </row>
    <row r="100" spans="1:8" x14ac:dyDescent="0.25">
      <c r="A100" s="3">
        <f t="shared" si="13"/>
        <v>88</v>
      </c>
      <c r="B100" s="3">
        <f t="shared" si="14"/>
        <v>88</v>
      </c>
      <c r="C100" s="3">
        <f t="shared" si="15"/>
        <v>152.45893283890564</v>
      </c>
      <c r="D100" s="3">
        <f t="shared" si="8"/>
        <v>2.0263489778042691</v>
      </c>
      <c r="E100" s="3">
        <f t="shared" si="9"/>
        <v>154.48528181670991</v>
      </c>
      <c r="F100" s="3">
        <f t="shared" si="10"/>
        <v>2.0098169141895403</v>
      </c>
      <c r="G100" s="3">
        <f t="shared" si="11"/>
        <v>152.53755942264576</v>
      </c>
      <c r="H100" s="3">
        <f t="shared" si="12"/>
        <v>7.8626583740117439E-2</v>
      </c>
    </row>
    <row r="101" spans="1:8" x14ac:dyDescent="0.25">
      <c r="A101" s="3">
        <f t="shared" si="13"/>
        <v>89</v>
      </c>
      <c r="B101" s="3">
        <f t="shared" si="14"/>
        <v>89</v>
      </c>
      <c r="C101" s="3">
        <f t="shared" si="15"/>
        <v>154.47701578490253</v>
      </c>
      <c r="D101" s="3">
        <f t="shared" si="8"/>
        <v>2.009885219191379</v>
      </c>
      <c r="E101" s="3">
        <f t="shared" si="9"/>
        <v>156.48690100409391</v>
      </c>
      <c r="F101" s="3">
        <f t="shared" si="10"/>
        <v>1.9930702225065928</v>
      </c>
      <c r="G101" s="3">
        <f t="shared" si="11"/>
        <v>154.5550612677408</v>
      </c>
      <c r="H101" s="3">
        <f t="shared" si="12"/>
        <v>7.8045482838263069E-2</v>
      </c>
    </row>
    <row r="102" spans="1:8" x14ac:dyDescent="0.25">
      <c r="A102" s="3">
        <f t="shared" si="13"/>
        <v>90</v>
      </c>
      <c r="B102" s="3">
        <f t="shared" si="14"/>
        <v>90</v>
      </c>
      <c r="C102" s="3">
        <f t="shared" si="15"/>
        <v>156.47849350575152</v>
      </c>
      <c r="D102" s="3">
        <f t="shared" si="8"/>
        <v>1.9931414206000726</v>
      </c>
      <c r="E102" s="3">
        <f t="shared" si="9"/>
        <v>158.47163492635158</v>
      </c>
      <c r="F102" s="3">
        <f t="shared" si="10"/>
        <v>1.9760627256963519</v>
      </c>
      <c r="G102" s="3">
        <f t="shared" si="11"/>
        <v>156.55594637124022</v>
      </c>
      <c r="H102" s="3">
        <f t="shared" si="12"/>
        <v>7.7452865488709222E-2</v>
      </c>
    </row>
    <row r="103" spans="1:8" x14ac:dyDescent="0.25">
      <c r="A103" s="3">
        <f t="shared" si="13"/>
        <v>91</v>
      </c>
      <c r="B103" s="3">
        <f t="shared" si="14"/>
        <v>91</v>
      </c>
      <c r="C103" s="3">
        <f t="shared" si="15"/>
        <v>158.46309557889973</v>
      </c>
      <c r="D103" s="3">
        <f t="shared" si="8"/>
        <v>1.9761367492881319</v>
      </c>
      <c r="E103" s="3">
        <f t="shared" si="9"/>
        <v>160.43923232818787</v>
      </c>
      <c r="F103" s="3">
        <f t="shared" si="10"/>
        <v>1.9588130489019311</v>
      </c>
      <c r="G103" s="3">
        <f t="shared" si="11"/>
        <v>158.53994504835671</v>
      </c>
      <c r="H103" s="3">
        <f t="shared" si="12"/>
        <v>7.6849469456988118E-2</v>
      </c>
    </row>
    <row r="104" spans="1:8" x14ac:dyDescent="0.25">
      <c r="A104" s="3">
        <f t="shared" si="13"/>
        <v>92</v>
      </c>
      <c r="B104" s="3">
        <f t="shared" si="14"/>
        <v>92</v>
      </c>
      <c r="C104" s="3">
        <f t="shared" si="15"/>
        <v>160.43057047799476</v>
      </c>
      <c r="D104" s="3">
        <f t="shared" si="8"/>
        <v>1.9588898263298113</v>
      </c>
      <c r="E104" s="3">
        <f t="shared" si="9"/>
        <v>162.38946030432459</v>
      </c>
      <c r="F104" s="3">
        <f t="shared" si="10"/>
        <v>1.941339273726552</v>
      </c>
      <c r="G104" s="3">
        <f t="shared" si="11"/>
        <v>160.50680648833381</v>
      </c>
      <c r="H104" s="3">
        <f t="shared" si="12"/>
        <v>7.6236010339044924E-2</v>
      </c>
    </row>
    <row r="105" spans="1:8" x14ac:dyDescent="0.25">
      <c r="A105" s="3">
        <f t="shared" si="13"/>
        <v>93</v>
      </c>
      <c r="B105" s="3">
        <f t="shared" si="14"/>
        <v>93</v>
      </c>
      <c r="C105" s="3">
        <f t="shared" si="15"/>
        <v>162.38068502802295</v>
      </c>
      <c r="D105" s="3">
        <f t="shared" si="8"/>
        <v>1.9414187297577914</v>
      </c>
      <c r="E105" s="3">
        <f t="shared" si="9"/>
        <v>164.32210375778075</v>
      </c>
      <c r="F105" s="3">
        <f t="shared" si="10"/>
        <v>1.9236589421856034</v>
      </c>
      <c r="G105" s="3">
        <f t="shared" si="11"/>
        <v>162.45629820984928</v>
      </c>
      <c r="H105" s="3">
        <f t="shared" si="12"/>
        <v>7.5613181826327036E-2</v>
      </c>
    </row>
    <row r="106" spans="1:8" x14ac:dyDescent="0.25">
      <c r="A106" s="3">
        <f t="shared" si="13"/>
        <v>94</v>
      </c>
      <c r="B106" s="3">
        <f t="shared" si="14"/>
        <v>94</v>
      </c>
      <c r="C106" s="3">
        <f t="shared" si="15"/>
        <v>164.31322386399464</v>
      </c>
      <c r="D106" s="3">
        <f t="shared" si="8"/>
        <v>1.923740998483459</v>
      </c>
      <c r="E106" s="3">
        <f t="shared" si="9"/>
        <v>166.23696486247809</v>
      </c>
      <c r="F106" s="3">
        <f t="shared" si="10"/>
        <v>1.9057890613694575</v>
      </c>
      <c r="G106" s="3">
        <f t="shared" si="11"/>
        <v>164.38820551998725</v>
      </c>
      <c r="H106" s="3">
        <f t="shared" si="12"/>
        <v>7.498165599261597E-2</v>
      </c>
    </row>
    <row r="107" spans="1:8" x14ac:dyDescent="0.25">
      <c r="A107" s="3">
        <f t="shared" si="13"/>
        <v>95</v>
      </c>
      <c r="B107" s="3">
        <f t="shared" si="14"/>
        <v>95</v>
      </c>
      <c r="C107" s="3">
        <f t="shared" si="15"/>
        <v>166.22798889392109</v>
      </c>
      <c r="D107" s="3">
        <f t="shared" si="8"/>
        <v>1.9058736369293954</v>
      </c>
      <c r="E107" s="3">
        <f t="shared" si="9"/>
        <v>168.13386253085048</v>
      </c>
      <c r="F107" s="3">
        <f t="shared" si="10"/>
        <v>1.887746108754462</v>
      </c>
      <c r="G107" s="3">
        <f t="shared" si="11"/>
        <v>166.30233097752151</v>
      </c>
      <c r="H107" s="3">
        <f t="shared" si="12"/>
        <v>7.4342083600413389E-2</v>
      </c>
    </row>
    <row r="108" spans="1:8" x14ac:dyDescent="0.25">
      <c r="A108" s="3">
        <f t="shared" si="13"/>
        <v>96</v>
      </c>
      <c r="B108" s="3">
        <f t="shared" si="14"/>
        <v>96</v>
      </c>
      <c r="C108" s="3">
        <f t="shared" si="15"/>
        <v>168.12479876676304</v>
      </c>
      <c r="D108" s="3">
        <f t="shared" si="8"/>
        <v>1.8878331203114809</v>
      </c>
      <c r="E108" s="3">
        <f t="shared" si="9"/>
        <v>170.01263188707452</v>
      </c>
      <c r="F108" s="3">
        <f t="shared" si="10"/>
        <v>1.8695460381030988</v>
      </c>
      <c r="G108" s="3">
        <f t="shared" si="11"/>
        <v>168.19849386118747</v>
      </c>
      <c r="H108" s="3">
        <f t="shared" si="12"/>
        <v>7.3695094424437002E-2</v>
      </c>
    </row>
    <row r="109" spans="1:8" x14ac:dyDescent="0.25">
      <c r="A109" s="3">
        <f t="shared" si="13"/>
        <v>97</v>
      </c>
      <c r="B109" s="3">
        <f t="shared" si="14"/>
        <v>97</v>
      </c>
      <c r="C109" s="3">
        <f t="shared" si="15"/>
        <v>170.00348834597031</v>
      </c>
      <c r="D109" s="3">
        <f t="shared" si="8"/>
        <v>1.8696354005115157</v>
      </c>
      <c r="E109" s="3">
        <f t="shared" si="9"/>
        <v>171.87312374648184</v>
      </c>
      <c r="F109" s="3">
        <f t="shared" si="10"/>
        <v>1.8512042858975917</v>
      </c>
      <c r="G109" s="3">
        <f t="shared" si="11"/>
        <v>170.0765296435597</v>
      </c>
      <c r="H109" s="3">
        <f t="shared" si="12"/>
        <v>7.3041297589384158E-2</v>
      </c>
    </row>
    <row r="110" spans="1:8" x14ac:dyDescent="0.25">
      <c r="A110" s="3">
        <f t="shared" si="13"/>
        <v>98</v>
      </c>
      <c r="B110" s="3">
        <f t="shared" si="14"/>
        <v>98</v>
      </c>
      <c r="C110" s="3">
        <f t="shared" si="15"/>
        <v>171.86390818917488</v>
      </c>
      <c r="D110" s="3">
        <f t="shared" si="8"/>
        <v>1.851295912484634</v>
      </c>
      <c r="E110" s="3">
        <f t="shared" si="9"/>
        <v>173.71520410165951</v>
      </c>
      <c r="F110" s="3">
        <f t="shared" si="10"/>
        <v>1.8327357782544249</v>
      </c>
      <c r="G110" s="3">
        <f t="shared" si="11"/>
        <v>171.93628947109625</v>
      </c>
      <c r="H110" s="3">
        <f t="shared" si="12"/>
        <v>7.2381281921366281E-2</v>
      </c>
    </row>
    <row r="111" spans="1:8" x14ac:dyDescent="0.25">
      <c r="A111" s="3">
        <f t="shared" si="13"/>
        <v>99</v>
      </c>
      <c r="B111" s="3">
        <f t="shared" si="14"/>
        <v>99</v>
      </c>
      <c r="C111" s="3">
        <f t="shared" si="15"/>
        <v>173.70592403454441</v>
      </c>
      <c r="D111" s="3">
        <f t="shared" si="8"/>
        <v>1.8328295811489568</v>
      </c>
      <c r="E111" s="3">
        <f t="shared" si="9"/>
        <v>175.53875361569337</v>
      </c>
      <c r="F111" s="3">
        <f t="shared" si="10"/>
        <v>1.8141549382703772</v>
      </c>
      <c r="G111" s="3">
        <f t="shared" si="11"/>
        <v>173.77763965085461</v>
      </c>
      <c r="H111" s="3">
        <f t="shared" si="12"/>
        <v>7.1715616310200403E-2</v>
      </c>
    </row>
    <row r="112" spans="1:8" x14ac:dyDescent="0.25">
      <c r="A112" s="3">
        <f t="shared" si="13"/>
        <v>100</v>
      </c>
      <c r="B112" s="3">
        <f t="shared" si="14"/>
        <v>100</v>
      </c>
      <c r="C112" s="3">
        <f t="shared" si="15"/>
        <v>175.52941629425408</v>
      </c>
      <c r="D112" s="3">
        <f t="shared" si="8"/>
        <v>1.8142508287079624</v>
      </c>
      <c r="E112" s="3">
        <f t="shared" si="9"/>
        <v>177.34366712296205</v>
      </c>
      <c r="F112" s="3">
        <f t="shared" si="10"/>
        <v>1.7954756937535645</v>
      </c>
      <c r="G112" s="3">
        <f t="shared" si="11"/>
        <v>175.60046114433572</v>
      </c>
      <c r="H112" s="3">
        <f t="shared" si="12"/>
        <v>7.1044850081648292E-2</v>
      </c>
    </row>
    <row r="113" spans="1:8" x14ac:dyDescent="0.25">
      <c r="A113" s="3">
        <f t="shared" si="13"/>
        <v>101</v>
      </c>
      <c r="B113" s="3">
        <f t="shared" si="14"/>
        <v>101</v>
      </c>
      <c r="C113" s="3">
        <f t="shared" si="15"/>
        <v>177.33427955548484</v>
      </c>
      <c r="D113" s="3">
        <f t="shared" si="8"/>
        <v>1.7955735823591132</v>
      </c>
      <c r="E113" s="3">
        <f t="shared" si="9"/>
        <v>179.12985313784395</v>
      </c>
      <c r="F113" s="3">
        <f t="shared" si="10"/>
        <v>1.7767114852957717</v>
      </c>
      <c r="G113" s="3">
        <f t="shared" si="11"/>
        <v>177.40464906886208</v>
      </c>
      <c r="H113" s="3">
        <f t="shared" si="12"/>
        <v>7.0369513377244175E-2</v>
      </c>
    </row>
    <row r="114" spans="1:8" x14ac:dyDescent="0.25">
      <c r="A114" s="3">
        <f t="shared" si="13"/>
        <v>102</v>
      </c>
      <c r="B114" s="3">
        <f t="shared" si="14"/>
        <v>102</v>
      </c>
      <c r="C114" s="3">
        <f t="shared" si="15"/>
        <v>179.12042208931229</v>
      </c>
      <c r="D114" s="3">
        <f t="shared" si="8"/>
        <v>1.7768112823449183</v>
      </c>
      <c r="E114" s="3">
        <f t="shared" si="9"/>
        <v>180.89723337165719</v>
      </c>
      <c r="F114" s="3">
        <f t="shared" si="10"/>
        <v>1.7578752746451305</v>
      </c>
      <c r="G114" s="3">
        <f t="shared" si="11"/>
        <v>179.1901122068536</v>
      </c>
      <c r="H114" s="3">
        <f t="shared" si="12"/>
        <v>6.9690117541313157E-2</v>
      </c>
    </row>
    <row r="115" spans="1:8" x14ac:dyDescent="0.25">
      <c r="A115" s="3">
        <f t="shared" si="13"/>
        <v>103</v>
      </c>
      <c r="B115" s="3">
        <f t="shared" si="14"/>
        <v>103</v>
      </c>
      <c r="C115" s="3">
        <f t="shared" si="15"/>
        <v>180.8877653678073</v>
      </c>
      <c r="D115" s="3">
        <f t="shared" si="8"/>
        <v>1.7579768903054767</v>
      </c>
      <c r="E115" s="3">
        <f t="shared" si="9"/>
        <v>182.64574225811279</v>
      </c>
      <c r="F115" s="3">
        <f t="shared" si="10"/>
        <v>1.738979553340664</v>
      </c>
      <c r="G115" s="3">
        <f t="shared" si="11"/>
        <v>180.9567725233197</v>
      </c>
      <c r="H115" s="3">
        <f t="shared" si="12"/>
        <v>6.9007155512395002E-2</v>
      </c>
    </row>
    <row r="116" spans="1:8" x14ac:dyDescent="0.25">
      <c r="A116" s="3">
        <f t="shared" si="13"/>
        <v>104</v>
      </c>
      <c r="B116" s="3">
        <f t="shared" si="14"/>
        <v>104</v>
      </c>
      <c r="C116" s="3">
        <f t="shared" si="15"/>
        <v>182.63624358963037</v>
      </c>
      <c r="D116" s="3">
        <f t="shared" si="8"/>
        <v>1.7390828978939741</v>
      </c>
      <c r="E116" s="3">
        <f t="shared" si="9"/>
        <v>184.37532648752435</v>
      </c>
      <c r="F116" s="3">
        <f t="shared" si="10"/>
        <v>1.7200363515727526</v>
      </c>
      <c r="G116" s="3">
        <f t="shared" si="11"/>
        <v>182.70456469185032</v>
      </c>
      <c r="H116" s="3">
        <f t="shared" si="12"/>
        <v>6.8321102219954355E-2</v>
      </c>
    </row>
    <row r="117" spans="1:8" x14ac:dyDescent="0.25">
      <c r="A117" s="3">
        <f t="shared" si="13"/>
        <v>105</v>
      </c>
      <c r="B117" s="3">
        <f t="shared" si="14"/>
        <v>105</v>
      </c>
      <c r="C117" s="3">
        <f t="shared" si="15"/>
        <v>184.36580321436372</v>
      </c>
      <c r="D117" s="3">
        <f t="shared" si="8"/>
        <v>1.7201413356191155</v>
      </c>
      <c r="E117" s="3">
        <f t="shared" si="9"/>
        <v>186.08594454998283</v>
      </c>
      <c r="F117" s="3">
        <f t="shared" si="10"/>
        <v>1.7010572472358401</v>
      </c>
      <c r="G117" s="3">
        <f t="shared" si="11"/>
        <v>184.43343562934675</v>
      </c>
      <c r="H117" s="3">
        <f t="shared" si="12"/>
        <v>6.7632414983023637E-2</v>
      </c>
    </row>
    <row r="118" spans="1:8" x14ac:dyDescent="0.25">
      <c r="A118" s="3">
        <f t="shared" si="13"/>
        <v>106</v>
      </c>
      <c r="B118" s="3">
        <f t="shared" si="14"/>
        <v>106</v>
      </c>
      <c r="C118" s="3">
        <f t="shared" si="15"/>
        <v>186.07640250579121</v>
      </c>
      <c r="D118" s="3">
        <f t="shared" si="8"/>
        <v>1.7011637818808321</v>
      </c>
      <c r="E118" s="3">
        <f t="shared" si="9"/>
        <v>187.77756628767204</v>
      </c>
      <c r="F118" s="3">
        <f t="shared" si="10"/>
        <v>1.6820533751419735</v>
      </c>
      <c r="G118" s="3">
        <f t="shared" si="11"/>
        <v>186.14334403970292</v>
      </c>
      <c r="H118" s="3">
        <f t="shared" si="12"/>
        <v>6.6941533911716533E-2</v>
      </c>
    </row>
    <row r="119" spans="1:8" x14ac:dyDescent="0.25">
      <c r="A119" s="3">
        <f t="shared" si="13"/>
        <v>107</v>
      </c>
      <c r="B119" s="3">
        <f t="shared" si="14"/>
        <v>107</v>
      </c>
      <c r="C119" s="3">
        <f t="shared" si="15"/>
        <v>187.7680110843026</v>
      </c>
      <c r="D119" s="3">
        <f t="shared" si="8"/>
        <v>1.6821613721677435</v>
      </c>
      <c r="E119" s="3">
        <f t="shared" si="9"/>
        <v>189.45017245647034</v>
      </c>
      <c r="F119" s="3">
        <f t="shared" si="10"/>
        <v>1.6630354363658535</v>
      </c>
      <c r="G119" s="3">
        <f t="shared" si="11"/>
        <v>187.83425996661126</v>
      </c>
      <c r="H119" s="3">
        <f t="shared" si="12"/>
        <v>6.6248882308656221E-2</v>
      </c>
    </row>
    <row r="120" spans="1:8" x14ac:dyDescent="0.25">
      <c r="A120" s="3">
        <f t="shared" si="13"/>
        <v>108</v>
      </c>
      <c r="B120" s="3">
        <f t="shared" si="14"/>
        <v>108</v>
      </c>
      <c r="C120" s="3">
        <f t="shared" si="15"/>
        <v>189.44060948856941</v>
      </c>
      <c r="D120" s="3">
        <f t="shared" si="8"/>
        <v>1.6631448083870763</v>
      </c>
      <c r="E120" s="3">
        <f t="shared" si="9"/>
        <v>191.10375429695648</v>
      </c>
      <c r="F120" s="3">
        <f t="shared" si="10"/>
        <v>1.6440137076940793</v>
      </c>
      <c r="G120" s="3">
        <f t="shared" si="11"/>
        <v>189.50616435564092</v>
      </c>
      <c r="H120" s="3">
        <f t="shared" si="12"/>
        <v>6.5554867071512035E-2</v>
      </c>
    </row>
    <row r="121" spans="1:8" x14ac:dyDescent="0.25">
      <c r="A121" s="3">
        <f t="shared" si="13"/>
        <v>109</v>
      </c>
      <c r="B121" s="3">
        <f t="shared" si="14"/>
        <v>109</v>
      </c>
      <c r="C121" s="3">
        <f t="shared" si="15"/>
        <v>191.09418874660997</v>
      </c>
      <c r="D121" s="3">
        <f t="shared" si="8"/>
        <v>1.6441243682996349</v>
      </c>
      <c r="E121" s="3">
        <f t="shared" si="9"/>
        <v>192.7383131149096</v>
      </c>
      <c r="F121" s="3">
        <f t="shared" si="10"/>
        <v>1.6249980511532156</v>
      </c>
      <c r="G121" s="3">
        <f t="shared" si="11"/>
        <v>191.1590486257048</v>
      </c>
      <c r="H121" s="3">
        <f t="shared" si="12"/>
        <v>6.4859879094825601E-2</v>
      </c>
    </row>
    <row r="122" spans="1:8" x14ac:dyDescent="0.25">
      <c r="A122" s="3">
        <f t="shared" si="13"/>
        <v>110</v>
      </c>
      <c r="B122" s="3">
        <f t="shared" si="14"/>
        <v>110</v>
      </c>
      <c r="C122" s="3">
        <f t="shared" si="15"/>
        <v>192.7287499563364</v>
      </c>
      <c r="D122" s="3">
        <f t="shared" si="8"/>
        <v>1.6251099150344626</v>
      </c>
      <c r="E122" s="3">
        <f t="shared" si="9"/>
        <v>194.35385987137087</v>
      </c>
      <c r="F122" s="3">
        <f t="shared" si="10"/>
        <v>1.6059979235930775</v>
      </c>
      <c r="G122" s="3">
        <f t="shared" si="11"/>
        <v>192.79291425000602</v>
      </c>
      <c r="H122" s="3">
        <f t="shared" si="12"/>
        <v>6.4164293669620065E-2</v>
      </c>
    </row>
    <row r="123" spans="1:8" x14ac:dyDescent="0.25">
      <c r="A123" s="3">
        <f t="shared" si="13"/>
        <v>111</v>
      </c>
      <c r="B123" s="3">
        <f t="shared" si="14"/>
        <v>111</v>
      </c>
      <c r="C123" s="3">
        <f t="shared" si="15"/>
        <v>194.34430387565018</v>
      </c>
      <c r="D123" s="3">
        <f t="shared" si="8"/>
        <v>1.606110906659481</v>
      </c>
      <c r="E123" s="3">
        <f t="shared" si="9"/>
        <v>195.95041478230968</v>
      </c>
      <c r="F123" s="3">
        <f t="shared" si="10"/>
        <v>1.5870223863033814</v>
      </c>
      <c r="G123" s="3">
        <f t="shared" si="11"/>
        <v>194.40777234653211</v>
      </c>
      <c r="H123" s="3">
        <f t="shared" si="12"/>
        <v>6.3468470881929306E-2</v>
      </c>
    </row>
    <row r="124" spans="1:8" x14ac:dyDescent="0.25">
      <c r="A124" s="3">
        <f t="shared" si="13"/>
        <v>112</v>
      </c>
      <c r="B124" s="3">
        <f t="shared" si="14"/>
        <v>112</v>
      </c>
      <c r="C124" s="3">
        <f t="shared" si="15"/>
        <v>195.9408705221316</v>
      </c>
      <c r="D124" s="3">
        <f t="shared" si="8"/>
        <v>1.5871364057862918</v>
      </c>
      <c r="E124" s="3">
        <f t="shared" si="9"/>
        <v>197.52800692791789</v>
      </c>
      <c r="F124" s="3">
        <f t="shared" si="10"/>
        <v>1.5680801146434988</v>
      </c>
      <c r="G124" s="3">
        <f t="shared" si="11"/>
        <v>196.00364327814009</v>
      </c>
      <c r="H124" s="3">
        <f t="shared" si="12"/>
        <v>6.2772756008484976E-2</v>
      </c>
    </row>
    <row r="125" spans="1:8" x14ac:dyDescent="0.25">
      <c r="A125" s="3">
        <f t="shared" si="13"/>
        <v>113</v>
      </c>
      <c r="B125" s="3">
        <f t="shared" si="14"/>
        <v>113</v>
      </c>
      <c r="C125" s="3">
        <f t="shared" si="15"/>
        <v>197.51847878234651</v>
      </c>
      <c r="D125" s="3">
        <f t="shared" si="8"/>
        <v>1.568195089188819</v>
      </c>
      <c r="E125" s="3">
        <f t="shared" si="9"/>
        <v>199.08667387153531</v>
      </c>
      <c r="F125" s="3">
        <f t="shared" si="10"/>
        <v>1.5491794076666561</v>
      </c>
      <c r="G125" s="3">
        <f t="shared" si="11"/>
        <v>197.58055626225504</v>
      </c>
      <c r="H125" s="3">
        <f t="shared" si="12"/>
        <v>6.207747990853818E-2</v>
      </c>
    </row>
    <row r="126" spans="1:8" x14ac:dyDescent="0.25">
      <c r="A126" s="3">
        <f t="shared" si="13"/>
        <v>114</v>
      </c>
      <c r="B126" s="3">
        <f t="shared" si="14"/>
        <v>114</v>
      </c>
      <c r="C126" s="3">
        <f t="shared" si="15"/>
        <v>199.07716603077424</v>
      </c>
      <c r="D126" s="3">
        <f t="shared" si="8"/>
        <v>1.5492952574170658</v>
      </c>
      <c r="E126" s="3">
        <f t="shared" si="9"/>
        <v>200.62646128819131</v>
      </c>
      <c r="F126" s="3">
        <f t="shared" si="10"/>
        <v>1.530328197721305</v>
      </c>
      <c r="G126" s="3">
        <f t="shared" si="11"/>
        <v>199.13854899018725</v>
      </c>
      <c r="H126" s="3">
        <f t="shared" si="12"/>
        <v>6.138295941300953E-2</v>
      </c>
    </row>
    <row r="127" spans="1:8" x14ac:dyDescent="0.25">
      <c r="A127" s="3">
        <f t="shared" si="13"/>
        <v>115</v>
      </c>
      <c r="B127" s="3">
        <f t="shared" si="14"/>
        <v>115</v>
      </c>
      <c r="C127" s="3">
        <f t="shared" si="15"/>
        <v>200.61697775834341</v>
      </c>
      <c r="D127" s="3">
        <f t="shared" si="8"/>
        <v>1.5304448443887235</v>
      </c>
      <c r="E127" s="3">
        <f t="shared" si="9"/>
        <v>202.14742260273212</v>
      </c>
      <c r="F127" s="3">
        <f t="shared" si="10"/>
        <v>1.5115340600138283</v>
      </c>
      <c r="G127" s="3">
        <f t="shared" si="11"/>
        <v>200.67766725605287</v>
      </c>
      <c r="H127" s="3">
        <f t="shared" si="12"/>
        <v>6.0689497709461193E-2</v>
      </c>
    </row>
    <row r="128" spans="1:8" x14ac:dyDescent="0.25">
      <c r="A128" s="3">
        <f t="shared" si="13"/>
        <v>116</v>
      </c>
      <c r="B128" s="3">
        <f t="shared" si="14"/>
        <v>116</v>
      </c>
      <c r="C128" s="3">
        <f t="shared" si="15"/>
        <v>202.13796721054467</v>
      </c>
      <c r="D128" s="3">
        <f t="shared" si="8"/>
        <v>1.5116514269427472</v>
      </c>
      <c r="E128" s="3">
        <f t="shared" si="9"/>
        <v>203.64961863748741</v>
      </c>
      <c r="F128" s="3">
        <f t="shared" si="10"/>
        <v>1.4928042221180016</v>
      </c>
      <c r="G128" s="3">
        <f t="shared" si="11"/>
        <v>202.19796459526572</v>
      </c>
      <c r="H128" s="3">
        <f t="shared" si="12"/>
        <v>5.9997384721043545E-2</v>
      </c>
    </row>
    <row r="129" spans="1:8" x14ac:dyDescent="0.25">
      <c r="A129" s="3">
        <f t="shared" si="13"/>
        <v>117</v>
      </c>
      <c r="B129" s="3">
        <f t="shared" si="14"/>
        <v>117</v>
      </c>
      <c r="C129" s="3">
        <f t="shared" si="15"/>
        <v>203.64019503507504</v>
      </c>
      <c r="D129" s="3">
        <f t="shared" si="8"/>
        <v>1.4929222343402877</v>
      </c>
      <c r="E129" s="3">
        <f t="shared" si="9"/>
        <v>205.13311726941532</v>
      </c>
      <c r="F129" s="3">
        <f t="shared" si="10"/>
        <v>1.4741455734179212</v>
      </c>
      <c r="G129" s="3">
        <f t="shared" si="11"/>
        <v>203.69950193255815</v>
      </c>
      <c r="H129" s="3">
        <f t="shared" si="12"/>
        <v>5.9306897483111243E-2</v>
      </c>
    </row>
    <row r="130" spans="1:8" x14ac:dyDescent="0.25">
      <c r="A130" s="3">
        <f t="shared" si="13"/>
        <v>118</v>
      </c>
      <c r="B130" s="3">
        <f t="shared" si="14"/>
        <v>118</v>
      </c>
      <c r="C130" s="3">
        <f t="shared" si="15"/>
        <v>205.12372893895414</v>
      </c>
      <c r="D130" s="3">
        <f t="shared" si="8"/>
        <v>1.4742641576996491</v>
      </c>
      <c r="E130" s="3">
        <f t="shared" si="9"/>
        <v>206.59799309665379</v>
      </c>
      <c r="F130" s="3">
        <f t="shared" si="10"/>
        <v>1.4555646744721784</v>
      </c>
      <c r="G130" s="3">
        <f t="shared" si="11"/>
        <v>205.18234723946659</v>
      </c>
      <c r="H130" s="3">
        <f t="shared" si="12"/>
        <v>5.861830051244965E-2</v>
      </c>
    </row>
    <row r="131" spans="1:8" x14ac:dyDescent="0.25">
      <c r="A131" s="3">
        <f t="shared" si="13"/>
        <v>119</v>
      </c>
      <c r="B131" s="3">
        <f t="shared" si="14"/>
        <v>119</v>
      </c>
      <c r="C131" s="3">
        <f t="shared" si="15"/>
        <v>206.58864335504006</v>
      </c>
      <c r="D131" s="3">
        <f t="shared" si="8"/>
        <v>1.4556837593530505</v>
      </c>
      <c r="E131" s="3">
        <f t="shared" si="9"/>
        <v>208.04432711439313</v>
      </c>
      <c r="F131" s="3">
        <f t="shared" si="10"/>
        <v>1.4370677662882403</v>
      </c>
      <c r="G131" s="3">
        <f t="shared" si="11"/>
        <v>206.6465752012125</v>
      </c>
      <c r="H131" s="3">
        <f t="shared" si="12"/>
        <v>5.7931846172436963E-2</v>
      </c>
    </row>
    <row r="132" spans="1:8" x14ac:dyDescent="0.25">
      <c r="A132" s="3">
        <f t="shared" si="13"/>
        <v>120</v>
      </c>
      <c r="B132" s="3">
        <f t="shared" si="14"/>
        <v>120</v>
      </c>
      <c r="C132" s="3">
        <f t="shared" si="15"/>
        <v>208.03501911786071</v>
      </c>
      <c r="D132" s="3">
        <f t="shared" si="8"/>
        <v>1.4371872821141005</v>
      </c>
      <c r="E132" s="3">
        <f t="shared" si="9"/>
        <v>209.47220639997482</v>
      </c>
      <c r="F132" s="3">
        <f t="shared" si="10"/>
        <v>1.418660779496983</v>
      </c>
      <c r="G132" s="3">
        <f t="shared" si="11"/>
        <v>208.09226689289264</v>
      </c>
      <c r="H132" s="3">
        <f t="shared" si="12"/>
        <v>5.724777503192513E-2</v>
      </c>
    </row>
    <row r="133" spans="1:8" x14ac:dyDescent="0.25">
      <c r="A133" s="3">
        <f t="shared" si="13"/>
        <v>121</v>
      </c>
      <c r="B133" s="3">
        <f t="shared" si="14"/>
        <v>121</v>
      </c>
      <c r="C133" s="3">
        <f t="shared" si="15"/>
        <v>209.46294314866626</v>
      </c>
      <c r="D133" s="3">
        <f t="shared" si="8"/>
        <v>1.4187806584459044</v>
      </c>
      <c r="E133" s="3">
        <f t="shared" si="9"/>
        <v>210.88172380711217</v>
      </c>
      <c r="F133" s="3">
        <f t="shared" si="10"/>
        <v>1.4003493434182681</v>
      </c>
      <c r="G133" s="3">
        <f t="shared" si="11"/>
        <v>209.51950946488407</v>
      </c>
      <c r="H133" s="3">
        <f t="shared" si="12"/>
        <v>5.6566316217811163E-2</v>
      </c>
    </row>
    <row r="134" spans="1:8" x14ac:dyDescent="0.25">
      <c r="A134" s="3">
        <f t="shared" si="13"/>
        <v>122</v>
      </c>
      <c r="B134" s="3">
        <f t="shared" si="14"/>
        <v>122</v>
      </c>
      <c r="C134" s="3">
        <f t="shared" si="15"/>
        <v>210.87250814959833</v>
      </c>
      <c r="D134" s="3">
        <f t="shared" si="8"/>
        <v>1.4004695195206931</v>
      </c>
      <c r="E134" s="3">
        <f t="shared" si="9"/>
        <v>212.27297766911903</v>
      </c>
      <c r="F134" s="3">
        <f t="shared" si="10"/>
        <v>1.3821387950094262</v>
      </c>
      <c r="G134" s="3">
        <f t="shared" si="11"/>
        <v>210.92839583736139</v>
      </c>
      <c r="H134" s="3">
        <f t="shared" si="12"/>
        <v>5.5887687763060967E-2</v>
      </c>
    </row>
    <row r="135" spans="1:8" x14ac:dyDescent="0.25">
      <c r="A135" s="3">
        <f t="shared" si="13"/>
        <v>123</v>
      </c>
      <c r="B135" s="3">
        <f t="shared" si="14"/>
        <v>123</v>
      </c>
      <c r="C135" s="3">
        <f t="shared" si="15"/>
        <v>212.2638123068634</v>
      </c>
      <c r="D135" s="3">
        <f t="shared" si="8"/>
        <v>1.3822592041627841</v>
      </c>
      <c r="E135" s="3">
        <f t="shared" si="9"/>
        <v>213.64607151102618</v>
      </c>
      <c r="F135" s="3">
        <f t="shared" si="10"/>
        <v>1.3640341876892979</v>
      </c>
      <c r="G135" s="3">
        <f t="shared" si="11"/>
        <v>212.31902440380989</v>
      </c>
      <c r="H135" s="3">
        <f t="shared" si="12"/>
        <v>5.5212096946490874E-2</v>
      </c>
    </row>
    <row r="136" spans="1:8" x14ac:dyDescent="0.25">
      <c r="A136" s="3">
        <f t="shared" si="13"/>
        <v>124</v>
      </c>
      <c r="B136" s="3">
        <f t="shared" si="14"/>
        <v>124</v>
      </c>
      <c r="C136" s="3">
        <f t="shared" si="15"/>
        <v>213.63695900278944</v>
      </c>
      <c r="D136" s="3">
        <f t="shared" si="8"/>
        <v>1.3641547676675079</v>
      </c>
      <c r="E136" s="3">
        <f t="shared" si="9"/>
        <v>215.00111377045695</v>
      </c>
      <c r="F136" s="3">
        <f t="shared" si="10"/>
        <v>1.3460403000313121</v>
      </c>
      <c r="G136" s="3">
        <f t="shared" si="11"/>
        <v>213.69149874341738</v>
      </c>
      <c r="H136" s="3">
        <f t="shared" si="12"/>
        <v>5.4539740627944866E-2</v>
      </c>
    </row>
    <row r="137" spans="1:8" x14ac:dyDescent="0.25">
      <c r="A137" s="3">
        <f t="shared" si="13"/>
        <v>125</v>
      </c>
      <c r="B137" s="3">
        <f t="shared" si="14"/>
        <v>125</v>
      </c>
      <c r="C137" s="3">
        <f t="shared" si="15"/>
        <v>214.99205653663884</v>
      </c>
      <c r="D137" s="3">
        <f t="shared" si="8"/>
        <v>1.3461609904895897</v>
      </c>
      <c r="E137" s="3">
        <f t="shared" si="9"/>
        <v>216.33821752712842</v>
      </c>
      <c r="F137" s="3">
        <f t="shared" si="10"/>
        <v>1.3281616443198652</v>
      </c>
      <c r="G137" s="3">
        <f t="shared" si="11"/>
        <v>215.04592734221467</v>
      </c>
      <c r="H137" s="3">
        <f t="shared" si="12"/>
        <v>5.3870805575826353E-2</v>
      </c>
    </row>
    <row r="138" spans="1:8" x14ac:dyDescent="0.25">
      <c r="A138" s="3">
        <f t="shared" si="13"/>
        <v>126</v>
      </c>
      <c r="B138" s="3">
        <f t="shared" si="14"/>
        <v>126</v>
      </c>
      <c r="C138" s="3">
        <f t="shared" si="15"/>
        <v>216.32921785404358</v>
      </c>
      <c r="D138" s="3">
        <f t="shared" si="8"/>
        <v>1.328282386795153</v>
      </c>
      <c r="E138" s="3">
        <f t="shared" si="9"/>
        <v>217.65750024083874</v>
      </c>
      <c r="F138" s="3">
        <f t="shared" si="10"/>
        <v>1.3104024749648631</v>
      </c>
      <c r="G138" s="3">
        <f t="shared" si="11"/>
        <v>216.38242332283184</v>
      </c>
      <c r="H138" s="3">
        <f t="shared" si="12"/>
        <v>5.3205468788263488E-2</v>
      </c>
    </row>
    <row r="139" spans="1:8" x14ac:dyDescent="0.25">
      <c r="A139" s="3">
        <f t="shared" si="13"/>
        <v>127</v>
      </c>
      <c r="B139" s="3">
        <f t="shared" si="14"/>
        <v>127</v>
      </c>
      <c r="C139" s="3">
        <f t="shared" si="15"/>
        <v>217.64856028492358</v>
      </c>
      <c r="D139" s="3">
        <f t="shared" si="8"/>
        <v>1.3105232128722974</v>
      </c>
      <c r="E139" s="3">
        <f t="shared" si="9"/>
        <v>218.95908349779586</v>
      </c>
      <c r="F139" s="3">
        <f t="shared" si="10"/>
        <v>1.2927667967700844</v>
      </c>
      <c r="G139" s="3">
        <f t="shared" si="11"/>
        <v>217.70110418273225</v>
      </c>
      <c r="H139" s="3">
        <f t="shared" si="12"/>
        <v>5.254389780867541E-2</v>
      </c>
    </row>
    <row r="140" spans="1:8" x14ac:dyDescent="0.25">
      <c r="A140" s="3">
        <f t="shared" si="13"/>
        <v>128</v>
      </c>
      <c r="B140" s="3">
        <f t="shared" si="14"/>
        <v>128</v>
      </c>
      <c r="C140" s="3">
        <f t="shared" si="15"/>
        <v>218.95020528974476</v>
      </c>
      <c r="D140" s="3">
        <f t="shared" ref="D140:D203" si="16">$B$3*C140^(3/4)*(1-(C140/$B$4)^(1/4))</f>
        <v>1.2928874753957655</v>
      </c>
      <c r="E140" s="3">
        <f t="shared" ref="E140:E203" si="17">C140+$B$6*D140</f>
        <v>220.24309276514052</v>
      </c>
      <c r="F140" s="3">
        <f t="shared" ref="F140:F203" si="18">$B$3*E140^(3/4)*(1-(E140/$B$4)^(1/4))</f>
        <v>1.2752583730515226</v>
      </c>
      <c r="G140" s="3">
        <f t="shared" ref="G140:G203" si="19">( $B$8 + ($B$9-$B$8)*EXP(-$B$3*B140/(4*$B$8)) )^4</f>
        <v>219.00209154077746</v>
      </c>
      <c r="H140" s="3">
        <f t="shared" ref="H140:H203" si="20">ABS(C140-G140)</f>
        <v>5.1886251032698283E-2</v>
      </c>
    </row>
    <row r="141" spans="1:8" x14ac:dyDescent="0.25">
      <c r="A141" s="3">
        <f t="shared" ref="A141:A204" si="21">A140+1</f>
        <v>129</v>
      </c>
      <c r="B141" s="3">
        <f t="shared" ref="B141:B204" si="22">B140+$B$6</f>
        <v>129</v>
      </c>
      <c r="C141" s="3">
        <f t="shared" ref="C141:C204" si="23">C140+($B$6/2)*(D140+F140)</f>
        <v>220.23427821396839</v>
      </c>
      <c r="D141" s="3">
        <f t="shared" si="16"/>
        <v>1.2753789395419308</v>
      </c>
      <c r="E141" s="3">
        <f t="shared" si="17"/>
        <v>221.50965715351032</v>
      </c>
      <c r="F141" s="3">
        <f t="shared" si="18"/>
        <v>1.2578807336024638</v>
      </c>
      <c r="G141" s="3">
        <f t="shared" si="19"/>
        <v>220.28551089197921</v>
      </c>
      <c r="H141" s="3">
        <f t="shared" si="20"/>
        <v>5.1232678010819654E-2</v>
      </c>
    </row>
    <row r="142" spans="1:8" x14ac:dyDescent="0.25">
      <c r="A142" s="3">
        <f t="shared" si="21"/>
        <v>130</v>
      </c>
      <c r="B142" s="3">
        <f t="shared" si="22"/>
        <v>130</v>
      </c>
      <c r="C142" s="3">
        <f t="shared" si="23"/>
        <v>221.5009080505406</v>
      </c>
      <c r="D142" s="3">
        <f t="shared" si="16"/>
        <v>1.2580011369508199</v>
      </c>
      <c r="E142" s="3">
        <f t="shared" si="17"/>
        <v>222.75890918749141</v>
      </c>
      <c r="F142" s="3">
        <f t="shared" si="18"/>
        <v>1.2406371825026665</v>
      </c>
      <c r="G142" s="3">
        <f t="shared" si="19"/>
        <v>221.55149137028241</v>
      </c>
      <c r="H142" s="3">
        <f t="shared" si="20"/>
        <v>5.0583319741804189E-2</v>
      </c>
    </row>
    <row r="143" spans="1:8" x14ac:dyDescent="0.25">
      <c r="A143" s="3">
        <f t="shared" si="21"/>
        <v>131</v>
      </c>
      <c r="B143" s="3">
        <f t="shared" si="22"/>
        <v>131</v>
      </c>
      <c r="C143" s="3">
        <f t="shared" si="23"/>
        <v>222.75022721026735</v>
      </c>
      <c r="D143" s="3">
        <f t="shared" si="16"/>
        <v>1.2407573735324877</v>
      </c>
      <c r="E143" s="3">
        <f t="shared" si="17"/>
        <v>223.99098458379984</v>
      </c>
      <c r="F143" s="3">
        <f t="shared" si="18"/>
        <v>1.2235308057693672</v>
      </c>
      <c r="G143" s="3">
        <f t="shared" si="19"/>
        <v>222.80016551922861</v>
      </c>
      <c r="H143" s="3">
        <f t="shared" si="20"/>
        <v>4.9938308961259281E-2</v>
      </c>
    </row>
    <row r="144" spans="1:8" x14ac:dyDescent="0.25">
      <c r="A144" s="3">
        <f t="shared" si="21"/>
        <v>132</v>
      </c>
      <c r="B144" s="3">
        <f t="shared" si="22"/>
        <v>132</v>
      </c>
      <c r="C144" s="3">
        <f t="shared" si="23"/>
        <v>223.98237129991827</v>
      </c>
      <c r="D144" s="3">
        <f t="shared" si="16"/>
        <v>1.2236507371154792</v>
      </c>
      <c r="E144" s="3">
        <f t="shared" si="17"/>
        <v>225.20602203703376</v>
      </c>
      <c r="F144" s="3">
        <f t="shared" si="18"/>
        <v>1.2065644788484216</v>
      </c>
      <c r="G144" s="3">
        <f t="shared" si="19"/>
        <v>224.03166907034145</v>
      </c>
      <c r="H144" s="3">
        <f t="shared" si="20"/>
        <v>4.9297770423180509E-2</v>
      </c>
    </row>
    <row r="145" spans="1:8" x14ac:dyDescent="0.25">
      <c r="A145" s="3">
        <f t="shared" si="21"/>
        <v>133</v>
      </c>
      <c r="B145" s="3">
        <f t="shared" si="22"/>
        <v>133</v>
      </c>
      <c r="C145" s="3">
        <f t="shared" si="23"/>
        <v>225.19747890790023</v>
      </c>
      <c r="D145" s="3">
        <f t="shared" si="16"/>
        <v>1.20668410493569</v>
      </c>
      <c r="E145" s="3">
        <f t="shared" si="17"/>
        <v>226.40416301283594</v>
      </c>
      <c r="F145" s="3">
        <f t="shared" si="18"/>
        <v>1.1897408739442437</v>
      </c>
      <c r="G145" s="3">
        <f t="shared" si="19"/>
        <v>225.24614072907372</v>
      </c>
      <c r="H145" s="3">
        <f t="shared" si="20"/>
        <v>4.8661821173482167E-2</v>
      </c>
    </row>
    <row r="146" spans="1:8" x14ac:dyDescent="0.25">
      <c r="A146" s="3">
        <f t="shared" si="21"/>
        <v>134</v>
      </c>
      <c r="B146" s="3">
        <f t="shared" si="22"/>
        <v>134</v>
      </c>
      <c r="C146" s="3">
        <f t="shared" si="23"/>
        <v>226.39569139734019</v>
      </c>
      <c r="D146" s="3">
        <f t="shared" si="16"/>
        <v>1.1898601509642412</v>
      </c>
      <c r="E146" s="3">
        <f t="shared" si="17"/>
        <v>227.58555154830444</v>
      </c>
      <c r="F146" s="3">
        <f t="shared" si="18"/>
        <v>1.1730624671876708</v>
      </c>
      <c r="G146" s="3">
        <f t="shared" si="19"/>
        <v>226.44372196815863</v>
      </c>
      <c r="H146" s="3">
        <f t="shared" si="20"/>
        <v>4.803057081844031E-2</v>
      </c>
    </row>
    <row r="147" spans="1:8" x14ac:dyDescent="0.25">
      <c r="A147" s="3">
        <f t="shared" si="21"/>
        <v>135</v>
      </c>
      <c r="B147" s="3">
        <f t="shared" si="22"/>
        <v>135</v>
      </c>
      <c r="C147" s="3">
        <f t="shared" si="23"/>
        <v>227.57715270641614</v>
      </c>
      <c r="D147" s="3">
        <f t="shared" si="16"/>
        <v>1.1731813530734669</v>
      </c>
      <c r="E147" s="3">
        <f t="shared" si="17"/>
        <v>228.7503340594896</v>
      </c>
      <c r="F147" s="3">
        <f t="shared" si="18"/>
        <v>1.1565315456411194</v>
      </c>
      <c r="G147" s="3">
        <f t="shared" si="19"/>
        <v>227.62455682820234</v>
      </c>
      <c r="H147" s="3">
        <f t="shared" si="20"/>
        <v>4.7404121786200903E-2</v>
      </c>
    </row>
    <row r="148" spans="1:8" x14ac:dyDescent="0.25">
      <c r="A148" s="3">
        <f t="shared" si="21"/>
        <v>136</v>
      </c>
      <c r="B148" s="3">
        <f t="shared" si="22"/>
        <v>136</v>
      </c>
      <c r="C148" s="3">
        <f t="shared" si="23"/>
        <v>228.74200915577345</v>
      </c>
      <c r="D148" s="3">
        <f t="shared" si="16"/>
        <v>1.1566500000404494</v>
      </c>
      <c r="E148" s="3">
        <f t="shared" si="17"/>
        <v>229.8986591558139</v>
      </c>
      <c r="F148" s="3">
        <f t="shared" si="18"/>
        <v>1.140150214140937</v>
      </c>
      <c r="G148" s="3">
        <f t="shared" si="19"/>
        <v>228.78879172535426</v>
      </c>
      <c r="H148" s="3">
        <f t="shared" si="20"/>
        <v>4.678256958081306E-2</v>
      </c>
    </row>
    <row r="149" spans="1:8" x14ac:dyDescent="0.25">
      <c r="A149" s="3">
        <f t="shared" si="21"/>
        <v>137</v>
      </c>
      <c r="B149" s="3">
        <f t="shared" si="22"/>
        <v>137</v>
      </c>
      <c r="C149" s="3">
        <f t="shared" si="23"/>
        <v>229.89040926286413</v>
      </c>
      <c r="D149" s="3">
        <f t="shared" si="16"/>
        <v>1.1402681983878724</v>
      </c>
      <c r="E149" s="3">
        <f t="shared" si="17"/>
        <v>231.030677461252</v>
      </c>
      <c r="F149" s="3">
        <f t="shared" si="18"/>
        <v>1.1239204019769458</v>
      </c>
      <c r="G149" s="3">
        <f t="shared" si="19"/>
        <v>229.93657526589476</v>
      </c>
      <c r="H149" s="3">
        <f t="shared" si="20"/>
        <v>4.6166003030634783E-2</v>
      </c>
    </row>
    <row r="150" spans="1:8" x14ac:dyDescent="0.25">
      <c r="A150" s="3">
        <f t="shared" si="21"/>
        <v>138</v>
      </c>
      <c r="B150" s="3">
        <f t="shared" si="22"/>
        <v>138</v>
      </c>
      <c r="C150" s="3">
        <f t="shared" si="23"/>
        <v>231.02250356304654</v>
      </c>
      <c r="D150" s="3">
        <f t="shared" si="16"/>
        <v>1.1240378790622971</v>
      </c>
      <c r="E150" s="3">
        <f t="shared" si="17"/>
        <v>232.14654144210883</v>
      </c>
      <c r="F150" s="3">
        <f t="shared" si="18"/>
        <v>1.1078438694096502</v>
      </c>
      <c r="G150" s="3">
        <f t="shared" si="19"/>
        <v>231.06805806757654</v>
      </c>
      <c r="H150" s="3">
        <f t="shared" si="20"/>
        <v>4.555450453000276E-2</v>
      </c>
    </row>
    <row r="151" spans="1:8" x14ac:dyDescent="0.25">
      <c r="A151" s="3">
        <f t="shared" si="21"/>
        <v>139</v>
      </c>
      <c r="B151" s="3">
        <f t="shared" si="22"/>
        <v>139</v>
      </c>
      <c r="C151" s="3">
        <f t="shared" si="23"/>
        <v>232.13844443728252</v>
      </c>
      <c r="D151" s="3">
        <f t="shared" si="16"/>
        <v>1.1079608039502249</v>
      </c>
      <c r="E151" s="3">
        <f t="shared" si="17"/>
        <v>233.24640524123274</v>
      </c>
      <c r="F151" s="3">
        <f t="shared" si="18"/>
        <v>1.0919222140257134</v>
      </c>
      <c r="G151" s="3">
        <f t="shared" si="19"/>
        <v>232.18339258755756</v>
      </c>
      <c r="H151" s="3">
        <f t="shared" si="20"/>
        <v>4.4948150275047283E-2</v>
      </c>
    </row>
    <row r="152" spans="1:8" x14ac:dyDescent="0.25">
      <c r="A152" s="3">
        <f t="shared" si="21"/>
        <v>140</v>
      </c>
      <c r="B152" s="3">
        <f t="shared" si="22"/>
        <v>140</v>
      </c>
      <c r="C152" s="3">
        <f t="shared" si="23"/>
        <v>233.23838594627048</v>
      </c>
      <c r="D152" s="3">
        <f t="shared" si="16"/>
        <v>1.0920385722326025</v>
      </c>
      <c r="E152" s="3">
        <f t="shared" si="17"/>
        <v>234.33042451850309</v>
      </c>
      <c r="F152" s="3">
        <f t="shared" si="18"/>
        <v>1.0761568769326255</v>
      </c>
      <c r="G152" s="3">
        <f t="shared" si="19"/>
        <v>233.2827329567624</v>
      </c>
      <c r="H152" s="3">
        <f t="shared" si="20"/>
        <v>4.4347010491918581E-2</v>
      </c>
    </row>
    <row r="153" spans="1:8" x14ac:dyDescent="0.25">
      <c r="A153" s="3">
        <f t="shared" si="21"/>
        <v>141</v>
      </c>
      <c r="B153" s="3">
        <f t="shared" si="22"/>
        <v>141</v>
      </c>
      <c r="C153" s="3">
        <f t="shared" si="23"/>
        <v>234.3224836708531</v>
      </c>
      <c r="D153" s="3">
        <f t="shared" si="16"/>
        <v>1.076272626578652</v>
      </c>
      <c r="E153" s="3">
        <f t="shared" si="17"/>
        <v>235.39875629743176</v>
      </c>
      <c r="F153" s="3">
        <f t="shared" si="18"/>
        <v>1.060549148793668</v>
      </c>
      <c r="G153" s="3">
        <f t="shared" si="19"/>
        <v>234.36623482051343</v>
      </c>
      <c r="H153" s="3">
        <f t="shared" si="20"/>
        <v>4.3751149660323563E-2</v>
      </c>
    </row>
    <row r="154" spans="1:8" x14ac:dyDescent="0.25">
      <c r="A154" s="3">
        <f t="shared" si="21"/>
        <v>142</v>
      </c>
      <c r="B154" s="3">
        <f t="shared" si="22"/>
        <v>142</v>
      </c>
      <c r="C154" s="3">
        <f t="shared" si="23"/>
        <v>235.39089455853926</v>
      </c>
      <c r="D154" s="3">
        <f t="shared" si="16"/>
        <v>1.0606642591801425</v>
      </c>
      <c r="E154" s="3">
        <f t="shared" si="17"/>
        <v>236.45155881771939</v>
      </c>
      <c r="F154" s="3">
        <f t="shared" si="18"/>
        <v>1.0451001757045226</v>
      </c>
      <c r="G154" s="3">
        <f t="shared" si="19"/>
        <v>235.4340551852691</v>
      </c>
      <c r="H154" s="3">
        <f t="shared" si="20"/>
        <v>4.3160626729843443E-2</v>
      </c>
    </row>
    <row r="155" spans="1:8" x14ac:dyDescent="0.25">
      <c r="A155" s="3">
        <f t="shared" si="21"/>
        <v>143</v>
      </c>
      <c r="B155" s="3">
        <f t="shared" si="22"/>
        <v>143</v>
      </c>
      <c r="C155" s="3">
        <f t="shared" si="23"/>
        <v>236.4437767759816</v>
      </c>
      <c r="D155" s="3">
        <f t="shared" si="16"/>
        <v>1.0452146176274</v>
      </c>
      <c r="E155" s="3">
        <f t="shared" si="17"/>
        <v>237.48899139360901</v>
      </c>
      <c r="F155" s="3">
        <f t="shared" si="18"/>
        <v>1.0298109649129694</v>
      </c>
      <c r="G155" s="3">
        <f t="shared" si="19"/>
        <v>236.48635227131291</v>
      </c>
      <c r="H155" s="3">
        <f t="shared" si="20"/>
        <v>4.2575495331306001E-2</v>
      </c>
    </row>
    <row r="156" spans="1:8" x14ac:dyDescent="0.25">
      <c r="A156" s="3">
        <f t="shared" si="21"/>
        <v>144</v>
      </c>
      <c r="B156" s="3">
        <f t="shared" si="22"/>
        <v>144</v>
      </c>
      <c r="C156" s="3">
        <f t="shared" si="23"/>
        <v>237.48128956725179</v>
      </c>
      <c r="D156" s="3">
        <f t="shared" si="16"/>
        <v>1.0299247106285638</v>
      </c>
      <c r="E156" s="3">
        <f t="shared" si="17"/>
        <v>238.51121427788036</v>
      </c>
      <c r="F156" s="3">
        <f t="shared" si="18"/>
        <v>1.014682390383431</v>
      </c>
      <c r="G156" s="3">
        <f t="shared" si="19"/>
        <v>237.52328537123222</v>
      </c>
      <c r="H156" s="3">
        <f t="shared" si="20"/>
        <v>4.1995803980427127E-2</v>
      </c>
    </row>
    <row r="157" spans="1:8" x14ac:dyDescent="0.25">
      <c r="A157" s="3">
        <f t="shared" si="21"/>
        <v>145</v>
      </c>
      <c r="B157" s="3">
        <f t="shared" si="22"/>
        <v>145</v>
      </c>
      <c r="C157" s="3">
        <f t="shared" si="23"/>
        <v>238.50359311775779</v>
      </c>
      <c r="D157" s="3">
        <f t="shared" si="16"/>
        <v>1.0147954135737443</v>
      </c>
      <c r="E157" s="3">
        <f t="shared" si="17"/>
        <v>239.51838853133154</v>
      </c>
      <c r="F157" s="3">
        <f t="shared" si="18"/>
        <v>0.99971519820809396</v>
      </c>
      <c r="G157" s="3">
        <f t="shared" si="19"/>
        <v>238.54501471403594</v>
      </c>
      <c r="H157" s="3">
        <f t="shared" si="20"/>
        <v>4.1421596278155448E-2</v>
      </c>
    </row>
    <row r="158" spans="1:8" x14ac:dyDescent="0.25">
      <c r="A158" s="3">
        <f t="shared" si="21"/>
        <v>146</v>
      </c>
      <c r="B158" s="3">
        <f t="shared" si="22"/>
        <v>146</v>
      </c>
      <c r="C158" s="3">
        <f t="shared" si="23"/>
        <v>239.5108484236487</v>
      </c>
      <c r="D158" s="3">
        <f t="shared" si="16"/>
        <v>0.99982747394589633</v>
      </c>
      <c r="E158" s="3">
        <f t="shared" si="17"/>
        <v>240.51067589759458</v>
      </c>
      <c r="F158" s="3">
        <f t="shared" si="18"/>
        <v>0.98491001186662253</v>
      </c>
      <c r="G158" s="3">
        <f t="shared" si="19"/>
        <v>239.55170133475167</v>
      </c>
      <c r="H158" s="3">
        <f t="shared" si="20"/>
        <v>4.0852911102973621E-2</v>
      </c>
    </row>
    <row r="159" spans="1:8" x14ac:dyDescent="0.25">
      <c r="A159" s="3">
        <f t="shared" si="21"/>
        <v>147</v>
      </c>
      <c r="B159" s="3">
        <f t="shared" si="22"/>
        <v>147</v>
      </c>
      <c r="C159" s="3">
        <f t="shared" si="23"/>
        <v>240.50321716655495</v>
      </c>
      <c r="D159" s="3">
        <f t="shared" si="16"/>
        <v>0.98502151658036186</v>
      </c>
      <c r="E159" s="3">
        <f t="shared" si="17"/>
        <v>241.48823868313531</v>
      </c>
      <c r="F159" s="3">
        <f t="shared" si="18"/>
        <v>0.97026733733651749</v>
      </c>
      <c r="G159" s="3">
        <f t="shared" si="19"/>
        <v>240.54350694935377</v>
      </c>
      <c r="H159" s="3">
        <f t="shared" si="20"/>
        <v>4.0289782798822671E-2</v>
      </c>
    </row>
    <row r="160" spans="1:8" x14ac:dyDescent="0.25">
      <c r="A160" s="3">
        <f t="shared" si="21"/>
        <v>148</v>
      </c>
      <c r="B160" s="3">
        <f t="shared" si="22"/>
        <v>148</v>
      </c>
      <c r="C160" s="3">
        <f t="shared" si="23"/>
        <v>241.4808615935134</v>
      </c>
      <c r="D160" s="3">
        <f t="shared" si="16"/>
        <v>0.97037804877513856</v>
      </c>
      <c r="E160" s="3">
        <f t="shared" si="17"/>
        <v>242.45123964228853</v>
      </c>
      <c r="F160" s="3">
        <f t="shared" si="18"/>
        <v>0.95578756805629728</v>
      </c>
      <c r="G160" s="3">
        <f t="shared" si="19"/>
        <v>241.52059383487054</v>
      </c>
      <c r="H160" s="3">
        <f t="shared" si="20"/>
        <v>3.9732241357143039E-2</v>
      </c>
    </row>
    <row r="161" spans="1:8" x14ac:dyDescent="0.25">
      <c r="A161" s="3">
        <f t="shared" si="21"/>
        <v>149</v>
      </c>
      <c r="B161" s="3">
        <f t="shared" si="22"/>
        <v>149</v>
      </c>
      <c r="C161" s="3">
        <f t="shared" si="23"/>
        <v>242.44394440192912</v>
      </c>
      <c r="D161" s="3">
        <f t="shared" si="16"/>
        <v>0.95589746525404462</v>
      </c>
      <c r="E161" s="3">
        <f t="shared" si="17"/>
        <v>243.39984186718317</v>
      </c>
      <c r="F161" s="3">
        <f t="shared" si="18"/>
        <v>0.94147098974379051</v>
      </c>
      <c r="G161" s="3">
        <f t="shared" si="19"/>
        <v>242.48312471452289</v>
      </c>
      <c r="H161" s="3">
        <f t="shared" si="20"/>
        <v>3.9180312593771305E-2</v>
      </c>
    </row>
    <row r="162" spans="1:8" x14ac:dyDescent="0.25">
      <c r="A162" s="3">
        <f t="shared" si="21"/>
        <v>150</v>
      </c>
      <c r="B162" s="3">
        <f t="shared" si="22"/>
        <v>150</v>
      </c>
      <c r="C162" s="3">
        <f t="shared" si="23"/>
        <v>243.39262862942803</v>
      </c>
      <c r="D162" s="3">
        <f t="shared" si="16"/>
        <v>0.94158005298507164</v>
      </c>
      <c r="E162" s="3">
        <f t="shared" si="17"/>
        <v>244.33420868241311</v>
      </c>
      <c r="F162" s="3">
        <f t="shared" si="18"/>
        <v>0.927317785071892</v>
      </c>
      <c r="G162" s="3">
        <f t="shared" si="19"/>
        <v>243.43126264774835</v>
      </c>
      <c r="H162" s="3">
        <f t="shared" si="20"/>
        <v>3.8634018320323094E-2</v>
      </c>
    </row>
    <row r="163" spans="1:8" x14ac:dyDescent="0.25">
      <c r="A163" s="3">
        <f t="shared" si="21"/>
        <v>151</v>
      </c>
      <c r="B163" s="3">
        <f t="shared" si="22"/>
        <v>151</v>
      </c>
      <c r="C163" s="3">
        <f t="shared" si="23"/>
        <v>244.32707754845651</v>
      </c>
      <c r="D163" s="3">
        <f t="shared" si="16"/>
        <v>0.92742599585626617</v>
      </c>
      <c r="E163" s="3">
        <f t="shared" si="17"/>
        <v>245.25450354431277</v>
      </c>
      <c r="F163" s="3">
        <f t="shared" si="18"/>
        <v>0.9133280382042015</v>
      </c>
      <c r="G163" s="3">
        <f t="shared" si="19"/>
        <v>244.36517092496643</v>
      </c>
      <c r="H163" s="3">
        <f t="shared" si="20"/>
        <v>3.8093376509920063E-2</v>
      </c>
    </row>
    <row r="164" spans="1:8" x14ac:dyDescent="0.25">
      <c r="A164" s="3">
        <f t="shared" si="21"/>
        <v>152</v>
      </c>
      <c r="B164" s="3">
        <f t="shared" si="22"/>
        <v>152</v>
      </c>
      <c r="C164" s="3">
        <f t="shared" si="23"/>
        <v>245.24745456548675</v>
      </c>
      <c r="D164" s="3">
        <f t="shared" si="16"/>
        <v>0.91343537921155515</v>
      </c>
      <c r="E164" s="3">
        <f t="shared" si="17"/>
        <v>246.16088994469831</v>
      </c>
      <c r="F164" s="3">
        <f t="shared" si="18"/>
        <v>0.89950173919306964</v>
      </c>
      <c r="G164" s="3">
        <f t="shared" si="19"/>
        <v>245.28501296694603</v>
      </c>
      <c r="H164" s="3">
        <f t="shared" si="20"/>
        <v>3.7558401459278912E-2</v>
      </c>
    </row>
    <row r="165" spans="1:8" x14ac:dyDescent="0.25">
      <c r="A165" s="3">
        <f t="shared" si="21"/>
        <v>153</v>
      </c>
      <c r="B165" s="3">
        <f t="shared" si="22"/>
        <v>153</v>
      </c>
      <c r="C165" s="3">
        <f t="shared" si="23"/>
        <v>246.15392312468907</v>
      </c>
      <c r="D165" s="3">
        <f t="shared" si="16"/>
        <v>0.89960819424902316</v>
      </c>
      <c r="E165" s="3">
        <f t="shared" si="17"/>
        <v>247.0535313189381</v>
      </c>
      <c r="F165" s="3">
        <f t="shared" si="18"/>
        <v>0.88583878824256068</v>
      </c>
      <c r="G165" s="3">
        <f t="shared" si="19"/>
        <v>246.19095222863291</v>
      </c>
      <c r="H165" s="3">
        <f t="shared" si="20"/>
        <v>3.7029103943837072E-2</v>
      </c>
    </row>
    <row r="166" spans="1:8" x14ac:dyDescent="0.25">
      <c r="A166" s="3">
        <f t="shared" si="21"/>
        <v>154</v>
      </c>
      <c r="B166" s="3">
        <f t="shared" si="22"/>
        <v>154</v>
      </c>
      <c r="C166" s="3">
        <f t="shared" si="23"/>
        <v>247.04664661593486</v>
      </c>
      <c r="D166" s="3">
        <f t="shared" si="16"/>
        <v>0.88594434228416041</v>
      </c>
      <c r="E166" s="3">
        <f t="shared" si="17"/>
        <v>247.93259095821901</v>
      </c>
      <c r="F166" s="3">
        <f t="shared" si="18"/>
        <v>0.8723389998389417</v>
      </c>
      <c r="G166" s="3">
        <f t="shared" si="19"/>
        <v>247.08315210730473</v>
      </c>
      <c r="H166" s="3">
        <f t="shared" si="20"/>
        <v>3.6505491369865695E-2</v>
      </c>
    </row>
    <row r="167" spans="1:8" x14ac:dyDescent="0.25">
      <c r="A167" s="3">
        <f t="shared" si="21"/>
        <v>155</v>
      </c>
      <c r="B167" s="3">
        <f t="shared" si="22"/>
        <v>155</v>
      </c>
      <c r="C167" s="3">
        <f t="shared" si="23"/>
        <v>247.92578828699641</v>
      </c>
      <c r="D167" s="3">
        <f t="shared" si="16"/>
        <v>0.87244363888069809</v>
      </c>
      <c r="E167" s="3">
        <f t="shared" si="17"/>
        <v>248.7982319258771</v>
      </c>
      <c r="F167" s="3">
        <f t="shared" si="18"/>
        <v>0.8590021067513226</v>
      </c>
      <c r="G167" s="3">
        <f t="shared" si="19"/>
        <v>247.96177585491682</v>
      </c>
      <c r="H167" s="3">
        <f t="shared" si="20"/>
        <v>3.5987567920415131E-2</v>
      </c>
    </row>
    <row r="168" spans="1:8" x14ac:dyDescent="0.25">
      <c r="A168" s="3">
        <f t="shared" si="21"/>
        <v>156</v>
      </c>
      <c r="B168" s="3">
        <f t="shared" si="22"/>
        <v>156</v>
      </c>
      <c r="C168" s="3">
        <f t="shared" si="23"/>
        <v>248.79151115981242</v>
      </c>
      <c r="D168" s="3">
        <f t="shared" si="16"/>
        <v>0.85910581785159545</v>
      </c>
      <c r="E168" s="3">
        <f t="shared" si="17"/>
        <v>249.65061697766401</v>
      </c>
      <c r="F168" s="3">
        <f t="shared" si="18"/>
        <v>0.84582776390508008</v>
      </c>
      <c r="G168" s="3">
        <f t="shared" si="19"/>
        <v>248.8269864945099</v>
      </c>
      <c r="H168" s="3">
        <f t="shared" si="20"/>
        <v>3.5475334697480321E-2</v>
      </c>
    </row>
    <row r="169" spans="1:8" x14ac:dyDescent="0.25">
      <c r="A169" s="3">
        <f t="shared" si="21"/>
        <v>157</v>
      </c>
      <c r="B169" s="3">
        <f t="shared" si="22"/>
        <v>157</v>
      </c>
      <c r="C169" s="3">
        <f t="shared" si="23"/>
        <v>249.64397795069075</v>
      </c>
      <c r="D169" s="3">
        <f t="shared" si="16"/>
        <v>0.84593053513290373</v>
      </c>
      <c r="E169" s="3">
        <f t="shared" si="17"/>
        <v>250.48990848582366</v>
      </c>
      <c r="F169" s="3">
        <f t="shared" si="18"/>
        <v>0.83281555213077552</v>
      </c>
      <c r="G169" s="3">
        <f t="shared" si="19"/>
        <v>249.67894674055054</v>
      </c>
      <c r="H169" s="3">
        <f t="shared" si="20"/>
        <v>3.496878985978924E-2</v>
      </c>
    </row>
    <row r="170" spans="1:8" x14ac:dyDescent="0.25">
      <c r="A170" s="3">
        <f t="shared" si="21"/>
        <v>158</v>
      </c>
      <c r="B170" s="3">
        <f t="shared" si="22"/>
        <v>158</v>
      </c>
      <c r="C170" s="3">
        <f t="shared" si="23"/>
        <v>250.48335099432259</v>
      </c>
      <c r="D170" s="3">
        <f t="shared" si="16"/>
        <v>0.8329173725330884</v>
      </c>
      <c r="E170" s="3">
        <f t="shared" si="17"/>
        <v>251.31626836685567</v>
      </c>
      <c r="F170" s="3">
        <f t="shared" si="18"/>
        <v>0.81996498179119659</v>
      </c>
      <c r="G170" s="3">
        <f t="shared" si="19"/>
        <v>250.51781892307744</v>
      </c>
      <c r="H170" s="3">
        <f t="shared" si="20"/>
        <v>3.4467928754850163E-2</v>
      </c>
    </row>
    <row r="171" spans="1:8" x14ac:dyDescent="0.25">
      <c r="A171" s="3">
        <f t="shared" si="21"/>
        <v>159</v>
      </c>
      <c r="B171" s="3">
        <f t="shared" si="22"/>
        <v>159</v>
      </c>
      <c r="C171" s="3">
        <f t="shared" si="23"/>
        <v>251.30979217148473</v>
      </c>
      <c r="D171" s="3">
        <f t="shared" si="16"/>
        <v>0.82006584136058136</v>
      </c>
      <c r="E171" s="3">
        <f t="shared" si="17"/>
        <v>252.12985801284532</v>
      </c>
      <c r="F171" s="3">
        <f t="shared" si="18"/>
        <v>0.80727549628927975</v>
      </c>
      <c r="G171" s="3">
        <f t="shared" si="19"/>
        <v>251.34376491553303</v>
      </c>
      <c r="H171" s="3">
        <f t="shared" si="20"/>
        <v>3.3972744048298864E-2</v>
      </c>
    </row>
    <row r="172" spans="1:8" x14ac:dyDescent="0.25">
      <c r="A172" s="3">
        <f t="shared" si="21"/>
        <v>160</v>
      </c>
      <c r="B172" s="3">
        <f t="shared" si="22"/>
        <v>160</v>
      </c>
      <c r="C172" s="3">
        <f t="shared" si="23"/>
        <v>252.12346284030966</v>
      </c>
      <c r="D172" s="3">
        <f t="shared" si="16"/>
        <v>0.80737538593216807</v>
      </c>
      <c r="E172" s="3">
        <f t="shared" si="17"/>
        <v>252.93083822624183</v>
      </c>
      <c r="F172" s="3">
        <f t="shared" si="18"/>
        <v>0.79474647545957655</v>
      </c>
      <c r="G172" s="3">
        <f t="shared" si="19"/>
        <v>252.15694606615767</v>
      </c>
      <c r="H172" s="3">
        <f t="shared" si="20"/>
        <v>3.3483225848016218E-2</v>
      </c>
    </row>
    <row r="173" spans="1:8" x14ac:dyDescent="0.25">
      <c r="A173" s="3">
        <f t="shared" si="21"/>
        <v>161</v>
      </c>
      <c r="B173" s="3">
        <f t="shared" si="22"/>
        <v>161</v>
      </c>
      <c r="C173" s="3">
        <f t="shared" si="23"/>
        <v>252.92452377100554</v>
      </c>
      <c r="D173" s="3">
        <f t="shared" si="16"/>
        <v>0.79484538696498663</v>
      </c>
      <c r="E173" s="3">
        <f t="shared" si="17"/>
        <v>253.71936915797053</v>
      </c>
      <c r="F173" s="3">
        <f t="shared" si="18"/>
        <v>0.78237723884595478</v>
      </c>
      <c r="G173" s="3">
        <f t="shared" si="19"/>
        <v>252.95752313283006</v>
      </c>
      <c r="H173" s="3">
        <f t="shared" si="20"/>
        <v>3.2999361824522566E-2</v>
      </c>
    </row>
    <row r="174" spans="1:8" x14ac:dyDescent="0.25">
      <c r="A174" s="3">
        <f t="shared" si="21"/>
        <v>162</v>
      </c>
      <c r="B174" s="3">
        <f t="shared" si="22"/>
        <v>162</v>
      </c>
      <c r="C174" s="3">
        <f t="shared" si="23"/>
        <v>253.713135083911</v>
      </c>
      <c r="D174" s="3">
        <f t="shared" si="16"/>
        <v>0.78247516485477409</v>
      </c>
      <c r="E174" s="3">
        <f t="shared" si="17"/>
        <v>254.49561024876579</v>
      </c>
      <c r="F174" s="3">
        <f t="shared" si="18"/>
        <v>0.77016704886824572</v>
      </c>
      <c r="G174" s="3">
        <f t="shared" si="19"/>
        <v>253.74565622123831</v>
      </c>
      <c r="H174" s="3">
        <f t="shared" si="20"/>
        <v>3.252113732730777E-2</v>
      </c>
    </row>
    <row r="175" spans="1:8" x14ac:dyDescent="0.25">
      <c r="A175" s="3">
        <f t="shared" si="21"/>
        <v>163</v>
      </c>
      <c r="B175" s="3">
        <f t="shared" si="22"/>
        <v>163</v>
      </c>
      <c r="C175" s="3">
        <f t="shared" si="23"/>
        <v>254.4894561907725</v>
      </c>
      <c r="D175" s="3">
        <f t="shared" si="16"/>
        <v>0.77026398284305497</v>
      </c>
      <c r="E175" s="3">
        <f t="shared" si="17"/>
        <v>255.25972017361556</v>
      </c>
      <c r="F175" s="3">
        <f t="shared" si="18"/>
        <v>0.75811511388050101</v>
      </c>
      <c r="G175" s="3">
        <f t="shared" si="19"/>
        <v>254.52150472626957</v>
      </c>
      <c r="H175" s="3">
        <f t="shared" si="20"/>
        <v>3.2048535497068542E-2</v>
      </c>
    </row>
    <row r="176" spans="1:8" x14ac:dyDescent="0.25">
      <c r="A176" s="3">
        <f t="shared" si="21"/>
        <v>164</v>
      </c>
      <c r="B176" s="3">
        <f t="shared" si="22"/>
        <v>164</v>
      </c>
      <c r="C176" s="3">
        <f t="shared" si="23"/>
        <v>255.25364573913427</v>
      </c>
      <c r="D176" s="3">
        <f t="shared" si="16"/>
        <v>0.75821105007598777</v>
      </c>
      <c r="E176" s="3">
        <f t="shared" si="17"/>
        <v>256.01185678921024</v>
      </c>
      <c r="F176" s="3">
        <f t="shared" si="18"/>
        <v>0.74622059112351702</v>
      </c>
      <c r="G176" s="3">
        <f t="shared" si="19"/>
        <v>255.28522727650852</v>
      </c>
      <c r="H176" s="3">
        <f t="shared" si="20"/>
        <v>3.1581537374250956E-2</v>
      </c>
    </row>
    <row r="177" spans="1:8" x14ac:dyDescent="0.25">
      <c r="A177" s="3">
        <f t="shared" si="21"/>
        <v>165</v>
      </c>
      <c r="B177" s="3">
        <f t="shared" si="22"/>
        <v>165</v>
      </c>
      <c r="C177" s="3">
        <f t="shared" si="23"/>
        <v>256.005861559734</v>
      </c>
      <c r="D177" s="3">
        <f t="shared" si="16"/>
        <v>0.74631552455746175</v>
      </c>
      <c r="E177" s="3">
        <f t="shared" si="17"/>
        <v>256.75217708429147</v>
      </c>
      <c r="F177" s="3">
        <f t="shared" si="18"/>
        <v>0.73448258957429402</v>
      </c>
      <c r="G177" s="3">
        <f t="shared" si="19"/>
        <v>256.03698168173878</v>
      </c>
      <c r="H177" s="3">
        <f t="shared" si="20"/>
        <v>3.1120122004779205E-2</v>
      </c>
    </row>
    <row r="178" spans="1:8" x14ac:dyDescent="0.25">
      <c r="A178" s="3">
        <f t="shared" si="21"/>
        <v>166</v>
      </c>
      <c r="B178" s="3">
        <f t="shared" si="22"/>
        <v>166</v>
      </c>
      <c r="C178" s="3">
        <f t="shared" si="23"/>
        <v>256.74626061679987</v>
      </c>
      <c r="D178" s="3">
        <f t="shared" si="16"/>
        <v>0.73457651599915286</v>
      </c>
      <c r="E178" s="3">
        <f t="shared" si="17"/>
        <v>257.48083713279902</v>
      </c>
      <c r="F178" s="3">
        <f t="shared" si="18"/>
        <v>0.72290017269501183</v>
      </c>
      <c r="G178" s="3">
        <f t="shared" si="19"/>
        <v>256.77692488333969</v>
      </c>
      <c r="H178" s="3">
        <f t="shared" si="20"/>
        <v>3.0664266539815799E-2</v>
      </c>
    </row>
    <row r="179" spans="1:8" x14ac:dyDescent="0.25">
      <c r="A179" s="3">
        <f t="shared" si="21"/>
        <v>167</v>
      </c>
      <c r="B179" s="3">
        <f t="shared" si="22"/>
        <v>167</v>
      </c>
      <c r="C179" s="3">
        <f t="shared" si="23"/>
        <v>257.47499896114698</v>
      </c>
      <c r="D179" s="3">
        <f t="shared" si="16"/>
        <v>0.72299308857010525</v>
      </c>
      <c r="E179" s="3">
        <f t="shared" si="17"/>
        <v>258.19799204971707</v>
      </c>
      <c r="F179" s="3">
        <f t="shared" si="18"/>
        <v>0.71147236108414869</v>
      </c>
      <c r="G179" s="3">
        <f t="shared" si="19"/>
        <v>257.50521290748208</v>
      </c>
      <c r="H179" s="3">
        <f t="shared" si="20"/>
        <v>3.0213946335095443E-2</v>
      </c>
    </row>
    <row r="180" spans="1:8" x14ac:dyDescent="0.25">
      <c r="A180" s="3">
        <f t="shared" si="21"/>
        <v>168</v>
      </c>
      <c r="B180" s="3">
        <f t="shared" si="22"/>
        <v>168</v>
      </c>
      <c r="C180" s="3">
        <f t="shared" si="23"/>
        <v>258.19223168597409</v>
      </c>
      <c r="D180" s="3">
        <f t="shared" si="16"/>
        <v>0.71156426354846436</v>
      </c>
      <c r="E180" s="3">
        <f t="shared" si="17"/>
        <v>258.90379594952253</v>
      </c>
      <c r="F180" s="3">
        <f t="shared" si="18"/>
        <v>0.7001981350323162</v>
      </c>
      <c r="G180" s="3">
        <f t="shared" si="19"/>
        <v>258.22200082101841</v>
      </c>
      <c r="H180" s="3">
        <f t="shared" si="20"/>
        <v>2.9769135044318773E-2</v>
      </c>
    </row>
    <row r="181" spans="1:8" x14ac:dyDescent="0.25">
      <c r="A181" s="3">
        <f t="shared" si="21"/>
        <v>169</v>
      </c>
      <c r="B181" s="3">
        <f t="shared" si="22"/>
        <v>169</v>
      </c>
      <c r="C181" s="3">
        <f t="shared" si="23"/>
        <v>258.89811288526448</v>
      </c>
      <c r="D181" s="3">
        <f t="shared" si="16"/>
        <v>0.70028902187791209</v>
      </c>
      <c r="E181" s="3">
        <f t="shared" si="17"/>
        <v>259.59840190714237</v>
      </c>
      <c r="F181" s="3">
        <f t="shared" si="18"/>
        <v>0.68907643698530174</v>
      </c>
      <c r="G181" s="3">
        <f t="shared" si="19"/>
        <v>258.92744268997535</v>
      </c>
      <c r="H181" s="3">
        <f t="shared" si="20"/>
        <v>2.9329804710869212E-2</v>
      </c>
    </row>
    <row r="182" spans="1:8" x14ac:dyDescent="0.25">
      <c r="A182" s="3">
        <f t="shared" si="21"/>
        <v>170</v>
      </c>
      <c r="B182" s="3">
        <f t="shared" si="22"/>
        <v>170</v>
      </c>
      <c r="C182" s="3">
        <f t="shared" si="23"/>
        <v>259.59279561469612</v>
      </c>
      <c r="D182" s="3">
        <f t="shared" si="16"/>
        <v>0.68916630663134848</v>
      </c>
      <c r="E182" s="3">
        <f t="shared" si="17"/>
        <v>260.28196192132748</v>
      </c>
      <c r="F182" s="3">
        <f t="shared" si="18"/>
        <v>0.67810617391689543</v>
      </c>
      <c r="G182" s="3">
        <f t="shared" si="19"/>
        <v>259.62169154055141</v>
      </c>
      <c r="H182" s="3">
        <f t="shared" si="20"/>
        <v>2.889592585529499E-2</v>
      </c>
    </row>
    <row r="183" spans="1:8" x14ac:dyDescent="0.25">
      <c r="A183" s="3">
        <f t="shared" si="21"/>
        <v>171</v>
      </c>
      <c r="B183" s="3">
        <f t="shared" si="22"/>
        <v>171</v>
      </c>
      <c r="C183" s="3">
        <f t="shared" si="23"/>
        <v>260.27643185497021</v>
      </c>
      <c r="D183" s="3">
        <f t="shared" si="16"/>
        <v>0.6781950253843223</v>
      </c>
      <c r="E183" s="3">
        <f t="shared" si="17"/>
        <v>260.95462688035451</v>
      </c>
      <c r="F183" s="3">
        <f t="shared" si="18"/>
        <v>0.66728621961390922</v>
      </c>
      <c r="G183" s="3">
        <f t="shared" si="19"/>
        <v>260.3048993225301</v>
      </c>
      <c r="H183" s="3">
        <f t="shared" si="20"/>
        <v>2.8467467559892157E-2</v>
      </c>
    </row>
    <row r="184" spans="1:8" x14ac:dyDescent="0.25">
      <c r="A184" s="3">
        <f t="shared" si="21"/>
        <v>172</v>
      </c>
      <c r="B184" s="3">
        <f t="shared" si="22"/>
        <v>172</v>
      </c>
      <c r="C184" s="3">
        <f t="shared" si="23"/>
        <v>260.94917247746935</v>
      </c>
      <c r="D184" s="3">
        <f t="shared" si="16"/>
        <v>0.66737405250066784</v>
      </c>
      <c r="E184" s="3">
        <f t="shared" si="17"/>
        <v>261.61654652997004</v>
      </c>
      <c r="F184" s="3">
        <f t="shared" si="18"/>
        <v>0.65661541687584957</v>
      </c>
      <c r="G184" s="3">
        <f t="shared" si="19"/>
        <v>260.97721687502064</v>
      </c>
      <c r="H184" s="3">
        <f t="shared" si="20"/>
        <v>2.8044397551298061E-2</v>
      </c>
    </row>
    <row r="185" spans="1:8" x14ac:dyDescent="0.25">
      <c r="A185" s="3">
        <f t="shared" si="21"/>
        <v>173</v>
      </c>
      <c r="B185" s="3">
        <f t="shared" si="22"/>
        <v>173</v>
      </c>
      <c r="C185" s="3">
        <f t="shared" si="23"/>
        <v>261.61116721215762</v>
      </c>
      <c r="D185" s="3">
        <f t="shared" si="16"/>
        <v>0.65670223133282035</v>
      </c>
      <c r="E185" s="3">
        <f t="shared" si="17"/>
        <v>262.26786944349044</v>
      </c>
      <c r="F185" s="3">
        <f t="shared" si="18"/>
        <v>0.64609257963165301</v>
      </c>
      <c r="G185" s="3">
        <f t="shared" si="19"/>
        <v>261.63879389443525</v>
      </c>
      <c r="H185" s="3">
        <f t="shared" si="20"/>
        <v>2.7626682277627879E-2</v>
      </c>
    </row>
    <row r="186" spans="1:8" x14ac:dyDescent="0.25">
      <c r="A186" s="3">
        <f t="shared" si="21"/>
        <v>174</v>
      </c>
      <c r="B186" s="3">
        <f t="shared" si="22"/>
        <v>174</v>
      </c>
      <c r="C186" s="3">
        <f t="shared" si="23"/>
        <v>262.26256461763984</v>
      </c>
      <c r="D186" s="3">
        <f t="shared" si="16"/>
        <v>0.6461783763391491</v>
      </c>
      <c r="E186" s="3">
        <f t="shared" si="17"/>
        <v>262.90874299397899</v>
      </c>
      <c r="F186" s="3">
        <f t="shared" si="18"/>
        <v>0.6357164949758275</v>
      </c>
      <c r="G186" s="3">
        <f t="shared" si="19"/>
        <v>262.28977890462568</v>
      </c>
      <c r="H186" s="3">
        <f t="shared" si="20"/>
        <v>2.7214286985838498E-2</v>
      </c>
    </row>
    <row r="187" spans="1:8" x14ac:dyDescent="0.25">
      <c r="A187" s="3">
        <f t="shared" si="21"/>
        <v>175</v>
      </c>
      <c r="B187" s="3">
        <f t="shared" si="22"/>
        <v>175</v>
      </c>
      <c r="C187" s="3">
        <f t="shared" si="23"/>
        <v>262.90351205329733</v>
      </c>
      <c r="D187" s="3">
        <f t="shared" si="16"/>
        <v>0.63580127512071272</v>
      </c>
      <c r="E187" s="3">
        <f t="shared" si="17"/>
        <v>263.53931332841807</v>
      </c>
      <c r="F187" s="3">
        <f t="shared" si="18"/>
        <v>0.62548592512631052</v>
      </c>
      <c r="G187" s="3">
        <f t="shared" si="19"/>
        <v>262.93031922909188</v>
      </c>
      <c r="H187" s="3">
        <f t="shared" si="20"/>
        <v>2.6807175794544946E-2</v>
      </c>
    </row>
    <row r="188" spans="1:8" x14ac:dyDescent="0.25">
      <c r="A188" s="3">
        <f t="shared" si="21"/>
        <v>176</v>
      </c>
      <c r="B188" s="3">
        <f t="shared" si="22"/>
        <v>176</v>
      </c>
      <c r="C188" s="3">
        <f t="shared" si="23"/>
        <v>263.53415565342084</v>
      </c>
      <c r="D188" s="3">
        <f t="shared" si="16"/>
        <v>0.62556969037974686</v>
      </c>
      <c r="E188" s="3">
        <f t="shared" si="17"/>
        <v>264.15972534380057</v>
      </c>
      <c r="F188" s="3">
        <f t="shared" si="18"/>
        <v>0.61539960930634952</v>
      </c>
      <c r="G188" s="3">
        <f t="shared" si="19"/>
        <v>263.56056096518438</v>
      </c>
      <c r="H188" s="3">
        <f t="shared" si="20"/>
        <v>2.6405311763539885E-2</v>
      </c>
    </row>
    <row r="189" spans="1:8" x14ac:dyDescent="0.25">
      <c r="A189" s="3">
        <f t="shared" si="21"/>
        <v>177</v>
      </c>
      <c r="B189" s="3">
        <f t="shared" si="22"/>
        <v>177</v>
      </c>
      <c r="C189" s="3">
        <f t="shared" si="23"/>
        <v>264.15464030326388</v>
      </c>
      <c r="D189" s="3">
        <f t="shared" si="16"/>
        <v>0.61548236180213445</v>
      </c>
      <c r="E189" s="3">
        <f t="shared" si="17"/>
        <v>264.77012266506603</v>
      </c>
      <c r="F189" s="3">
        <f t="shared" si="18"/>
        <v>0.60545626555261323</v>
      </c>
      <c r="G189" s="3">
        <f t="shared" si="19"/>
        <v>264.18064896022611</v>
      </c>
      <c r="H189" s="3">
        <f t="shared" si="20"/>
        <v>2.600865696223309E-2</v>
      </c>
    </row>
    <row r="190" spans="1:8" x14ac:dyDescent="0.25">
      <c r="A190" s="3">
        <f t="shared" si="21"/>
        <v>178</v>
      </c>
      <c r="B190" s="3">
        <f t="shared" si="22"/>
        <v>178</v>
      </c>
      <c r="C190" s="3">
        <f t="shared" si="23"/>
        <v>264.76510961694123</v>
      </c>
      <c r="D190" s="3">
        <f t="shared" si="16"/>
        <v>0.60553800786612577</v>
      </c>
      <c r="E190" s="3">
        <f t="shared" si="17"/>
        <v>265.37064762480736</v>
      </c>
      <c r="F190" s="3">
        <f t="shared" si="18"/>
        <v>0.59565459245175434</v>
      </c>
      <c r="G190" s="3">
        <f t="shared" si="19"/>
        <v>264.79072678947631</v>
      </c>
      <c r="H190" s="3">
        <f t="shared" si="20"/>
        <v>2.5617172535078225E-2</v>
      </c>
    </row>
    <row r="191" spans="1:8" x14ac:dyDescent="0.25">
      <c r="A191" s="3">
        <f t="shared" si="21"/>
        <v>179</v>
      </c>
      <c r="B191" s="3">
        <f t="shared" si="22"/>
        <v>179</v>
      </c>
      <c r="C191" s="3">
        <f t="shared" si="23"/>
        <v>265.36570591710017</v>
      </c>
      <c r="D191" s="3">
        <f t="shared" si="16"/>
        <v>0.5957353275794941</v>
      </c>
      <c r="E191" s="3">
        <f t="shared" si="17"/>
        <v>265.96144124467969</v>
      </c>
      <c r="F191" s="3">
        <f t="shared" si="18"/>
        <v>0.58599327080754604</v>
      </c>
      <c r="G191" s="3">
        <f t="shared" si="19"/>
        <v>265.39093673586342</v>
      </c>
      <c r="H191" s="3">
        <f t="shared" si="20"/>
        <v>2.5230818763247953E-2</v>
      </c>
    </row>
    <row r="192" spans="1:8" x14ac:dyDescent="0.25">
      <c r="A192" s="3">
        <f t="shared" si="21"/>
        <v>180</v>
      </c>
      <c r="B192" s="3">
        <f t="shared" si="22"/>
        <v>180</v>
      </c>
      <c r="C192" s="3">
        <f t="shared" si="23"/>
        <v>265.9565702162937</v>
      </c>
      <c r="D192" s="3">
        <f t="shared" si="16"/>
        <v>0.58607300214725933</v>
      </c>
      <c r="E192" s="3">
        <f t="shared" si="17"/>
        <v>266.54264321844096</v>
      </c>
      <c r="F192" s="3">
        <f t="shared" si="18"/>
        <v>0.5764709652407175</v>
      </c>
      <c r="G192" s="3">
        <f t="shared" si="19"/>
        <v>265.98141977142052</v>
      </c>
      <c r="H192" s="3">
        <f t="shared" si="20"/>
        <v>2.4849555126820633E-2</v>
      </c>
    </row>
    <row r="193" spans="1:8" x14ac:dyDescent="0.25">
      <c r="A193" s="3">
        <f t="shared" si="21"/>
        <v>181</v>
      </c>
      <c r="B193" s="3">
        <f t="shared" si="22"/>
        <v>181</v>
      </c>
      <c r="C193" s="3">
        <f t="shared" si="23"/>
        <v>266.53784219998767</v>
      </c>
      <c r="D193" s="3">
        <f t="shared" si="16"/>
        <v>0.5765496965721133</v>
      </c>
      <c r="E193" s="3">
        <f t="shared" si="17"/>
        <v>267.11439189655977</v>
      </c>
      <c r="F193" s="3">
        <f t="shared" si="18"/>
        <v>0.56708632572355844</v>
      </c>
      <c r="G193" s="3">
        <f t="shared" si="19"/>
        <v>266.56231554034815</v>
      </c>
      <c r="H193" s="3">
        <f t="shared" si="20"/>
        <v>2.4473340360486873E-2</v>
      </c>
    </row>
    <row r="194" spans="1:8" x14ac:dyDescent="0.25">
      <c r="A194" s="3">
        <f t="shared" si="21"/>
        <v>182</v>
      </c>
      <c r="B194" s="3">
        <f t="shared" si="22"/>
        <v>182</v>
      </c>
      <c r="C194" s="3">
        <f t="shared" si="23"/>
        <v>267.10966021113552</v>
      </c>
      <c r="D194" s="3">
        <f t="shared" si="16"/>
        <v>0.56716406118957585</v>
      </c>
      <c r="E194" s="3">
        <f t="shared" si="17"/>
        <v>267.67682427232512</v>
      </c>
      <c r="F194" s="3">
        <f t="shared" si="18"/>
        <v>0.55783798905127824</v>
      </c>
      <c r="G194" s="3">
        <f t="shared" si="19"/>
        <v>267.13376234364677</v>
      </c>
      <c r="H194" s="3">
        <f t="shared" si="20"/>
        <v>2.41021325112456E-2</v>
      </c>
    </row>
    <row r="195" spans="1:8" x14ac:dyDescent="0.25">
      <c r="A195" s="3">
        <f t="shared" si="21"/>
        <v>183</v>
      </c>
      <c r="B195" s="3">
        <f t="shared" si="22"/>
        <v>183</v>
      </c>
      <c r="C195" s="3">
        <f t="shared" si="23"/>
        <v>267.67216123625593</v>
      </c>
      <c r="D195" s="3">
        <f t="shared" si="16"/>
        <v>0.55791473313995421</v>
      </c>
      <c r="E195" s="3">
        <f t="shared" si="17"/>
        <v>268.2300759693959</v>
      </c>
      <c r="F195" s="3">
        <f t="shared" si="18"/>
        <v>0.54872458025215942</v>
      </c>
      <c r="G195" s="3">
        <f t="shared" si="19"/>
        <v>267.69589712524726</v>
      </c>
      <c r="H195" s="3">
        <f t="shared" si="20"/>
        <v>2.3735888991325282E-2</v>
      </c>
    </row>
    <row r="196" spans="1:8" x14ac:dyDescent="0.25">
      <c r="A196" s="3">
        <f t="shared" si="21"/>
        <v>184</v>
      </c>
      <c r="B196" s="3">
        <f t="shared" si="22"/>
        <v>184</v>
      </c>
      <c r="C196" s="3">
        <f t="shared" si="23"/>
        <v>268.22548089295196</v>
      </c>
      <c r="D196" s="3">
        <f t="shared" si="16"/>
        <v>0.54880033777901449</v>
      </c>
      <c r="E196" s="3">
        <f t="shared" si="17"/>
        <v>268.77428123073099</v>
      </c>
      <c r="F196" s="3">
        <f t="shared" si="18"/>
        <v>0.53974471393836043</v>
      </c>
      <c r="G196" s="3">
        <f t="shared" si="19"/>
        <v>268.24885545958125</v>
      </c>
      <c r="H196" s="3">
        <f t="shared" si="20"/>
        <v>2.3374566629286164E-2</v>
      </c>
    </row>
    <row r="197" spans="1:8" x14ac:dyDescent="0.25">
      <c r="A197" s="3">
        <f t="shared" si="21"/>
        <v>185</v>
      </c>
      <c r="B197" s="3">
        <f t="shared" si="22"/>
        <v>185</v>
      </c>
      <c r="C197" s="3">
        <f t="shared" si="23"/>
        <v>268.76975341881064</v>
      </c>
      <c r="D197" s="3">
        <f t="shared" si="16"/>
        <v>0.53981949002935081</v>
      </c>
      <c r="E197" s="3">
        <f t="shared" si="17"/>
        <v>269.30957290883998</v>
      </c>
      <c r="F197" s="3">
        <f t="shared" si="18"/>
        <v>0.53089699559930448</v>
      </c>
      <c r="G197" s="3">
        <f t="shared" si="19"/>
        <v>268.79277154053068</v>
      </c>
      <c r="H197" s="3">
        <f t="shared" si="20"/>
        <v>2.3018121720042473E-2</v>
      </c>
    </row>
    <row r="198" spans="1:8" x14ac:dyDescent="0.25">
      <c r="A198" s="3">
        <f t="shared" si="21"/>
        <v>186</v>
      </c>
      <c r="B198" s="3">
        <f t="shared" si="22"/>
        <v>186</v>
      </c>
      <c r="C198" s="3">
        <f t="shared" si="23"/>
        <v>269.30511166162495</v>
      </c>
      <c r="D198" s="3">
        <f t="shared" si="16"/>
        <v>0.53097079567431194</v>
      </c>
      <c r="E198" s="3">
        <f t="shared" si="17"/>
        <v>269.83608245729926</v>
      </c>
      <c r="F198" s="3">
        <f t="shared" si="18"/>
        <v>0.5221800228394915</v>
      </c>
      <c r="G198" s="3">
        <f t="shared" si="19"/>
        <v>269.32777817169688</v>
      </c>
      <c r="H198" s="3">
        <f t="shared" si="20"/>
        <v>2.2666510071928769E-2</v>
      </c>
    </row>
    <row r="199" spans="1:8" x14ac:dyDescent="0.25">
      <c r="A199" s="3">
        <f t="shared" si="21"/>
        <v>187</v>
      </c>
      <c r="B199" s="3">
        <f t="shared" si="22"/>
        <v>187</v>
      </c>
      <c r="C199" s="3">
        <f t="shared" si="23"/>
        <v>269.83168707088186</v>
      </c>
      <c r="D199" s="3">
        <f t="shared" si="16"/>
        <v>0.52225285259633925</v>
      </c>
      <c r="E199" s="3">
        <f t="shared" si="17"/>
        <v>270.35393992347821</v>
      </c>
      <c r="F199" s="3">
        <f t="shared" si="18"/>
        <v>0.5135923865625216</v>
      </c>
      <c r="G199" s="3">
        <f t="shared" si="19"/>
        <v>269.85400675793454</v>
      </c>
      <c r="H199" s="3">
        <f t="shared" si="20"/>
        <v>2.2319687052686277E-2</v>
      </c>
    </row>
    <row r="200" spans="1:8" x14ac:dyDescent="0.25">
      <c r="A200" s="3">
        <f t="shared" si="21"/>
        <v>188</v>
      </c>
      <c r="B200" s="3">
        <f t="shared" si="22"/>
        <v>188</v>
      </c>
      <c r="C200" s="3">
        <f t="shared" si="23"/>
        <v>270.34960969046131</v>
      </c>
      <c r="D200" s="3">
        <f t="shared" si="16"/>
        <v>0.51366425196150833</v>
      </c>
      <c r="E200" s="3">
        <f t="shared" si="17"/>
        <v>270.86327394242284</v>
      </c>
      <c r="F200" s="3">
        <f t="shared" si="18"/>
        <v>0.50513267210310575</v>
      </c>
      <c r="G200" s="3">
        <f t="shared" si="19"/>
        <v>270.37158729809374</v>
      </c>
      <c r="H200" s="3">
        <f t="shared" si="20"/>
        <v>2.1977607632436502E-2</v>
      </c>
    </row>
    <row r="201" spans="1:8" x14ac:dyDescent="0.25">
      <c r="A201" s="3">
        <f t="shared" si="21"/>
        <v>189</v>
      </c>
      <c r="B201" s="3">
        <f t="shared" si="22"/>
        <v>189</v>
      </c>
      <c r="C201" s="3">
        <f t="shared" si="23"/>
        <v>270.85900815249363</v>
      </c>
      <c r="D201" s="3">
        <f t="shared" si="16"/>
        <v>0.50520357935203808</v>
      </c>
      <c r="E201" s="3">
        <f t="shared" si="17"/>
        <v>271.36421173184567</v>
      </c>
      <c r="F201" s="3">
        <f t="shared" si="18"/>
        <v>0.49679946030873789</v>
      </c>
      <c r="G201" s="3">
        <f t="shared" si="19"/>
        <v>270.88064837892011</v>
      </c>
      <c r="H201" s="3">
        <f t="shared" si="20"/>
        <v>2.1640226426484332E-2</v>
      </c>
    </row>
    <row r="202" spans="1:8" x14ac:dyDescent="0.25">
      <c r="A202" s="3">
        <f t="shared" si="21"/>
        <v>190</v>
      </c>
      <c r="B202" s="3">
        <f t="shared" si="22"/>
        <v>190</v>
      </c>
      <c r="C202" s="3">
        <f t="shared" si="23"/>
        <v>271.360009672324</v>
      </c>
      <c r="D202" s="3">
        <f t="shared" si="16"/>
        <v>0.49686941584847244</v>
      </c>
      <c r="E202" s="3">
        <f t="shared" si="17"/>
        <v>271.85687908817249</v>
      </c>
      <c r="F202" s="3">
        <f t="shared" si="18"/>
        <v>0.48859132857274523</v>
      </c>
      <c r="G202" s="3">
        <f t="shared" si="19"/>
        <v>271.38131717005876</v>
      </c>
      <c r="H202" s="3">
        <f t="shared" si="20"/>
        <v>2.1307497734767367E-2</v>
      </c>
    </row>
    <row r="203" spans="1:8" x14ac:dyDescent="0.25">
      <c r="A203" s="3">
        <f t="shared" si="21"/>
        <v>191</v>
      </c>
      <c r="B203" s="3">
        <f t="shared" si="22"/>
        <v>191</v>
      </c>
      <c r="C203" s="3">
        <f t="shared" si="23"/>
        <v>271.85274004453458</v>
      </c>
      <c r="D203" s="3">
        <f t="shared" si="16"/>
        <v>0.48866033906321554</v>
      </c>
      <c r="E203" s="3">
        <f t="shared" si="17"/>
        <v>272.34140038359777</v>
      </c>
      <c r="F203" s="3">
        <f t="shared" si="18"/>
        <v>0.48050685182032132</v>
      </c>
      <c r="G203" s="3">
        <f t="shared" si="19"/>
        <v>271.87371942011544</v>
      </c>
      <c r="H203" s="3">
        <f t="shared" si="20"/>
        <v>2.0979375580850501E-2</v>
      </c>
    </row>
    <row r="204" spans="1:8" x14ac:dyDescent="0.25">
      <c r="A204" s="3">
        <f t="shared" si="21"/>
        <v>192</v>
      </c>
      <c r="B204" s="3">
        <f t="shared" si="22"/>
        <v>192</v>
      </c>
      <c r="C204" s="3">
        <f t="shared" si="23"/>
        <v>272.33732363997638</v>
      </c>
      <c r="D204" s="3">
        <f t="shared" ref="D204:D267" si="24">$B$3*C204^(3/4)*(1-(C204/$B$4)^(1/4))</f>
        <v>0.48057492412703962</v>
      </c>
      <c r="E204" s="3">
        <f t="shared" ref="E204:E267" si="25">C204+$B$6*D204</f>
        <v>272.81789856410342</v>
      </c>
      <c r="F204" s="3">
        <f t="shared" ref="F204:F267" si="26">$B$3*E204^(3/4)*(1-(E204/$B$4)^(1/4))</f>
        <v>0.47254460344912974</v>
      </c>
      <c r="G204" s="3">
        <f t="shared" ref="G204:G267" si="27">( $B$8 + ($B$9-$B$8)*EXP(-$B$3*B204/(4*$B$8)) )^4</f>
        <v>272.35797945372423</v>
      </c>
      <c r="H204" s="3">
        <f t="shared" ref="H204:H267" si="28">ABS(C204-G204)</f>
        <v>2.0655813747850971E-2</v>
      </c>
    </row>
    <row r="205" spans="1:8" x14ac:dyDescent="0.25">
      <c r="A205" s="3">
        <f t="shared" ref="A205:A268" si="29">A204+1</f>
        <v>193</v>
      </c>
      <c r="B205" s="3">
        <f t="shared" ref="B205:B268" si="30">B204+$B$6</f>
        <v>193</v>
      </c>
      <c r="C205" s="3">
        <f t="shared" ref="C205:C268" si="31">C204+($B$6/2)*(D204+F204)</f>
        <v>272.81388340376446</v>
      </c>
      <c r="D205" s="3">
        <f t="shared" si="24"/>
        <v>0.47261174463015149</v>
      </c>
      <c r="E205" s="3">
        <f t="shared" si="25"/>
        <v>273.28649514839464</v>
      </c>
      <c r="F205" s="3">
        <f t="shared" si="26"/>
        <v>0.46470315622602454</v>
      </c>
      <c r="G205" s="3">
        <f t="shared" si="27"/>
        <v>272.83422016957974</v>
      </c>
      <c r="H205" s="3">
        <f t="shared" si="28"/>
        <v>2.0336765815272884E-2</v>
      </c>
    </row>
    <row r="206" spans="1:8" x14ac:dyDescent="0.25">
      <c r="A206" s="3">
        <f t="shared" si="29"/>
        <v>194</v>
      </c>
      <c r="B206" s="3">
        <f t="shared" si="30"/>
        <v>194</v>
      </c>
      <c r="C206" s="3">
        <f t="shared" si="31"/>
        <v>273.28254085419258</v>
      </c>
      <c r="D206" s="3">
        <f t="shared" si="24"/>
        <v>0.46476937351937614</v>
      </c>
      <c r="E206" s="3">
        <f t="shared" si="25"/>
        <v>273.74731022771198</v>
      </c>
      <c r="F206" s="3">
        <f t="shared" si="26"/>
        <v>0.45698108314139946</v>
      </c>
      <c r="G206" s="3">
        <f t="shared" si="27"/>
        <v>273.30256303938319</v>
      </c>
      <c r="H206" s="3">
        <f t="shared" si="28"/>
        <v>2.0022185190612163E-2</v>
      </c>
    </row>
    <row r="207" spans="1:8" x14ac:dyDescent="0.25">
      <c r="A207" s="3">
        <f t="shared" si="29"/>
        <v>195</v>
      </c>
      <c r="B207" s="3">
        <f t="shared" si="30"/>
        <v>195</v>
      </c>
      <c r="C207" s="3">
        <f t="shared" si="31"/>
        <v>273.74341608252297</v>
      </c>
      <c r="D207" s="3">
        <f t="shared" si="24"/>
        <v>0.45704638395294617</v>
      </c>
      <c r="E207" s="3">
        <f t="shared" si="25"/>
        <v>274.20046246647593</v>
      </c>
      <c r="F207" s="3">
        <f t="shared" si="26"/>
        <v>0.44937695822260987</v>
      </c>
      <c r="G207" s="3">
        <f t="shared" si="27"/>
        <v>273.76312810766751</v>
      </c>
      <c r="H207" s="3">
        <f t="shared" si="28"/>
        <v>1.9712025144542622E-2</v>
      </c>
    </row>
    <row r="208" spans="1:8" x14ac:dyDescent="0.25">
      <c r="A208" s="3">
        <f t="shared" si="29"/>
        <v>196</v>
      </c>
      <c r="B208" s="3">
        <f t="shared" si="30"/>
        <v>196</v>
      </c>
      <c r="C208" s="3">
        <f t="shared" si="31"/>
        <v>274.19662775361076</v>
      </c>
      <c r="D208" s="3">
        <f t="shared" si="24"/>
        <v>0.44944135011435632</v>
      </c>
      <c r="E208" s="3">
        <f t="shared" si="25"/>
        <v>274.6460691037251</v>
      </c>
      <c r="F208" s="3">
        <f t="shared" si="26"/>
        <v>0.4418893573079149</v>
      </c>
      <c r="G208" s="3">
        <f t="shared" si="27"/>
        <v>274.2160339924493</v>
      </c>
      <c r="H208" s="3">
        <f t="shared" si="28"/>
        <v>1.9406238838541867E-2</v>
      </c>
    </row>
    <row r="209" spans="1:8" x14ac:dyDescent="0.25">
      <c r="A209" s="3">
        <f t="shared" si="29"/>
        <v>197</v>
      </c>
      <c r="B209" s="3">
        <f t="shared" si="30"/>
        <v>197</v>
      </c>
      <c r="C209" s="3">
        <f t="shared" si="31"/>
        <v>274.6422931073219</v>
      </c>
      <c r="D209" s="3">
        <f t="shared" si="24"/>
        <v>0.44195284798673112</v>
      </c>
      <c r="E209" s="3">
        <f t="shared" si="25"/>
        <v>275.08424595530863</v>
      </c>
      <c r="F209" s="3">
        <f t="shared" si="26"/>
        <v>0.43451685878231111</v>
      </c>
      <c r="G209" s="3">
        <f t="shared" si="27"/>
        <v>274.66139788667908</v>
      </c>
      <c r="H209" s="3">
        <f t="shared" si="28"/>
        <v>1.9104779357178359E-2</v>
      </c>
    </row>
    <row r="210" spans="1:8" x14ac:dyDescent="0.25">
      <c r="A210" s="3">
        <f t="shared" si="29"/>
        <v>198</v>
      </c>
      <c r="B210" s="3">
        <f t="shared" si="30"/>
        <v>198</v>
      </c>
      <c r="C210" s="3">
        <f t="shared" si="31"/>
        <v>275.08052796070643</v>
      </c>
      <c r="D210" s="3">
        <f t="shared" si="24"/>
        <v>0.4345794560890876</v>
      </c>
      <c r="E210" s="3">
        <f t="shared" si="25"/>
        <v>275.5151074167955</v>
      </c>
      <c r="F210" s="3">
        <f t="shared" si="26"/>
        <v>0.42725804427662045</v>
      </c>
      <c r="G210" s="3">
        <f t="shared" si="27"/>
        <v>275.09933556044092</v>
      </c>
      <c r="H210" s="3">
        <f t="shared" si="28"/>
        <v>1.8807599734486757E-2</v>
      </c>
    </row>
    <row r="211" spans="1:8" x14ac:dyDescent="0.25">
      <c r="A211" s="3">
        <f t="shared" si="29"/>
        <v>199</v>
      </c>
      <c r="B211" s="3">
        <f t="shared" si="30"/>
        <v>199</v>
      </c>
      <c r="C211" s="3">
        <f t="shared" si="31"/>
        <v>275.51144671088929</v>
      </c>
      <c r="D211" s="3">
        <f t="shared" si="24"/>
        <v>0.42731975617578938</v>
      </c>
      <c r="E211" s="3">
        <f t="shared" si="25"/>
        <v>275.93876646706508</v>
      </c>
      <c r="F211" s="3">
        <f t="shared" si="26"/>
        <v>0.42011149933109332</v>
      </c>
      <c r="G211" s="3">
        <f t="shared" si="27"/>
        <v>275.52996136387031</v>
      </c>
      <c r="H211" s="3">
        <f t="shared" si="28"/>
        <v>1.8514652981025392E-2</v>
      </c>
    </row>
    <row r="212" spans="1:8" x14ac:dyDescent="0.25">
      <c r="A212" s="3">
        <f t="shared" si="29"/>
        <v>200</v>
      </c>
      <c r="B212" s="3">
        <f t="shared" si="30"/>
        <v>200</v>
      </c>
      <c r="C212" s="3">
        <f t="shared" si="31"/>
        <v>275.93516233864273</v>
      </c>
      <c r="D212" s="3">
        <f t="shared" si="24"/>
        <v>0.42017233390058861</v>
      </c>
      <c r="E212" s="3">
        <f t="shared" si="25"/>
        <v>276.35533467254334</v>
      </c>
      <c r="F212" s="3">
        <f t="shared" si="26"/>
        <v>0.41307581402488447</v>
      </c>
      <c r="G212" s="3">
        <f t="shared" si="27"/>
        <v>275.953388230754</v>
      </c>
      <c r="H212" s="3">
        <f t="shared" si="28"/>
        <v>1.8225892111274788E-2</v>
      </c>
    </row>
    <row r="213" spans="1:8" x14ac:dyDescent="0.25">
      <c r="A213" s="3">
        <f t="shared" si="29"/>
        <v>201</v>
      </c>
      <c r="B213" s="3">
        <f t="shared" si="30"/>
        <v>201</v>
      </c>
      <c r="C213" s="3">
        <f t="shared" si="31"/>
        <v>276.35178641260546</v>
      </c>
      <c r="D213" s="3">
        <f t="shared" si="24"/>
        <v>0.41313577944644314</v>
      </c>
      <c r="E213" s="3">
        <f t="shared" si="25"/>
        <v>276.76492219205193</v>
      </c>
      <c r="F213" s="3">
        <f t="shared" si="26"/>
        <v>0.40614958357254949</v>
      </c>
      <c r="G213" s="3">
        <f t="shared" si="27"/>
        <v>276.3697276827711</v>
      </c>
      <c r="H213" s="3">
        <f t="shared" si="28"/>
        <v>1.794127016563607E-2</v>
      </c>
    </row>
    <row r="214" spans="1:8" x14ac:dyDescent="0.25">
      <c r="A214" s="3">
        <f t="shared" si="29"/>
        <v>202</v>
      </c>
      <c r="B214" s="3">
        <f t="shared" si="30"/>
        <v>202</v>
      </c>
      <c r="C214" s="3">
        <f t="shared" si="31"/>
        <v>276.76142909411499</v>
      </c>
      <c r="D214" s="3">
        <f t="shared" si="24"/>
        <v>0.40620868812240807</v>
      </c>
      <c r="E214" s="3">
        <f t="shared" si="25"/>
        <v>277.16763778223742</v>
      </c>
      <c r="F214" s="3">
        <f t="shared" si="26"/>
        <v>0.39933140888879765</v>
      </c>
      <c r="G214" s="3">
        <f t="shared" si="27"/>
        <v>276.77908983435015</v>
      </c>
      <c r="H214" s="3">
        <f t="shared" si="28"/>
        <v>1.7660740235157846E-2</v>
      </c>
    </row>
    <row r="215" spans="1:8" x14ac:dyDescent="0.25">
      <c r="A215" s="3">
        <f t="shared" si="29"/>
        <v>203</v>
      </c>
      <c r="B215" s="3">
        <f t="shared" si="30"/>
        <v>203</v>
      </c>
      <c r="C215" s="3">
        <f t="shared" si="31"/>
        <v>277.16419914262059</v>
      </c>
      <c r="D215" s="3">
        <f t="shared" si="24"/>
        <v>0.39938966092875383</v>
      </c>
      <c r="E215" s="3">
        <f t="shared" si="25"/>
        <v>277.56358880354935</v>
      </c>
      <c r="F215" s="3">
        <f t="shared" si="26"/>
        <v>0.39261989712270295</v>
      </c>
      <c r="G215" s="3">
        <f t="shared" si="27"/>
        <v>277.18158339810458</v>
      </c>
      <c r="H215" s="3">
        <f t="shared" si="28"/>
        <v>1.7384255483989364E-2</v>
      </c>
    </row>
    <row r="216" spans="1:8" x14ac:dyDescent="0.25">
      <c r="A216" s="3">
        <f t="shared" si="29"/>
        <v>204</v>
      </c>
      <c r="B216" s="3">
        <f t="shared" si="30"/>
        <v>204</v>
      </c>
      <c r="C216" s="3">
        <f t="shared" si="31"/>
        <v>277.56020392164629</v>
      </c>
      <c r="D216" s="3">
        <f t="shared" si="24"/>
        <v>0.392677305091509</v>
      </c>
      <c r="E216" s="3">
        <f t="shared" si="25"/>
        <v>277.95288122673782</v>
      </c>
      <c r="F216" s="3">
        <f t="shared" si="26"/>
        <v>0.38601366216241911</v>
      </c>
      <c r="G216" s="3">
        <f t="shared" si="27"/>
        <v>277.57731569081568</v>
      </c>
      <c r="H216" s="3">
        <f t="shared" si="28"/>
        <v>1.711176916938939E-2</v>
      </c>
    </row>
    <row r="217" spans="1:8" x14ac:dyDescent="0.25">
      <c r="A217" s="3">
        <f t="shared" si="29"/>
        <v>205</v>
      </c>
      <c r="B217" s="3">
        <f t="shared" si="30"/>
        <v>205</v>
      </c>
      <c r="C217" s="3">
        <f t="shared" si="31"/>
        <v>277.94954940527327</v>
      </c>
      <c r="D217" s="3">
        <f t="shared" si="24"/>
        <v>0.38607023456753836</v>
      </c>
      <c r="E217" s="3">
        <f t="shared" si="25"/>
        <v>278.33561963984079</v>
      </c>
      <c r="F217" s="3">
        <f t="shared" si="26"/>
        <v>0.37951132511158348</v>
      </c>
      <c r="G217" s="3">
        <f t="shared" si="27"/>
        <v>277.96639263993609</v>
      </c>
      <c r="H217" s="3">
        <f t="shared" si="28"/>
        <v>1.6843234662815121E-2</v>
      </c>
    </row>
    <row r="218" spans="1:8" x14ac:dyDescent="0.25">
      <c r="A218" s="3">
        <f t="shared" si="29"/>
        <v>206</v>
      </c>
      <c r="B218" s="3">
        <f t="shared" si="30"/>
        <v>206</v>
      </c>
      <c r="C218" s="3">
        <f t="shared" si="31"/>
        <v>278.33234018511286</v>
      </c>
      <c r="D218" s="3">
        <f t="shared" si="24"/>
        <v>0.37956707052126737</v>
      </c>
      <c r="E218" s="3">
        <f t="shared" si="25"/>
        <v>278.71190725563412</v>
      </c>
      <c r="F218" s="3">
        <f t="shared" si="26"/>
        <v>0.37311151473840615</v>
      </c>
      <c r="G218" s="3">
        <f t="shared" si="27"/>
        <v>278.34891879058125</v>
      </c>
      <c r="H218" s="3">
        <f t="shared" si="28"/>
        <v>1.657860546839629E-2</v>
      </c>
    </row>
    <row r="219" spans="1:8" x14ac:dyDescent="0.25">
      <c r="A219" s="3">
        <f t="shared" si="29"/>
        <v>207</v>
      </c>
      <c r="B219" s="3">
        <f t="shared" si="30"/>
        <v>207</v>
      </c>
      <c r="C219" s="3">
        <f t="shared" si="31"/>
        <v>278.70867947774269</v>
      </c>
      <c r="D219" s="3">
        <f t="shared" si="24"/>
        <v>0.37316644177409924</v>
      </c>
      <c r="E219" s="3">
        <f t="shared" si="25"/>
        <v>279.08184591951681</v>
      </c>
      <c r="F219" s="3">
        <f t="shared" si="26"/>
        <v>0.36681286789851753</v>
      </c>
      <c r="G219" s="3">
        <f t="shared" si="27"/>
        <v>278.72499731298473</v>
      </c>
      <c r="H219" s="3">
        <f t="shared" si="28"/>
        <v>1.6317835242034562E-2</v>
      </c>
    </row>
    <row r="220" spans="1:8" x14ac:dyDescent="0.25">
      <c r="A220" s="3">
        <f t="shared" si="29"/>
        <v>208</v>
      </c>
      <c r="B220" s="3">
        <f t="shared" si="30"/>
        <v>208</v>
      </c>
      <c r="C220" s="3">
        <f t="shared" si="31"/>
        <v>279.07866913257902</v>
      </c>
      <c r="D220" s="3">
        <f t="shared" si="24"/>
        <v>0.36686698522757649</v>
      </c>
      <c r="E220" s="3">
        <f t="shared" si="25"/>
        <v>279.44553611780663</v>
      </c>
      <c r="F220" s="3">
        <f t="shared" si="26"/>
        <v>0.36061402993255082</v>
      </c>
      <c r="G220" s="3">
        <f t="shared" si="27"/>
        <v>279.09473001038577</v>
      </c>
      <c r="H220" s="3">
        <f t="shared" si="28"/>
        <v>1.606087780675125E-2</v>
      </c>
    </row>
    <row r="221" spans="1:8" x14ac:dyDescent="0.25">
      <c r="A221" s="3">
        <f t="shared" si="29"/>
        <v>209</v>
      </c>
      <c r="B221" s="3">
        <f t="shared" si="30"/>
        <v>209</v>
      </c>
      <c r="C221" s="3">
        <f t="shared" si="31"/>
        <v>279.4424096401591</v>
      </c>
      <c r="D221" s="3">
        <f t="shared" si="24"/>
        <v>0.36066734626126218</v>
      </c>
      <c r="E221" s="3">
        <f t="shared" si="25"/>
        <v>279.80307698642036</v>
      </c>
      <c r="F221" s="3">
        <f t="shared" si="26"/>
        <v>0.35451365503943932</v>
      </c>
      <c r="G221" s="3">
        <f t="shared" si="27"/>
        <v>279.45821732733015</v>
      </c>
      <c r="H221" s="3">
        <f t="shared" si="28"/>
        <v>1.5807687171047746E-2</v>
      </c>
    </row>
    <row r="222" spans="1:8" x14ac:dyDescent="0.25">
      <c r="A222" s="3">
        <f t="shared" si="29"/>
        <v>210</v>
      </c>
      <c r="B222" s="3">
        <f t="shared" si="30"/>
        <v>210</v>
      </c>
      <c r="C222" s="3">
        <f t="shared" si="31"/>
        <v>279.80000014080946</v>
      </c>
      <c r="D222" s="3">
        <f t="shared" si="24"/>
        <v>0.35456617910634541</v>
      </c>
      <c r="E222" s="3">
        <f t="shared" si="25"/>
        <v>280.15456631991583</v>
      </c>
      <c r="F222" s="3">
        <f t="shared" si="26"/>
        <v>0.34851040662637445</v>
      </c>
      <c r="G222" s="3">
        <f t="shared" si="27"/>
        <v>279.81555835835269</v>
      </c>
      <c r="H222" s="3">
        <f t="shared" si="28"/>
        <v>1.5558217543230057E-2</v>
      </c>
    </row>
    <row r="223" spans="1:8" x14ac:dyDescent="0.25">
      <c r="A223" s="3">
        <f t="shared" si="29"/>
        <v>211</v>
      </c>
      <c r="B223" s="3">
        <f t="shared" si="30"/>
        <v>211</v>
      </c>
      <c r="C223" s="3">
        <f t="shared" si="31"/>
        <v>280.1515384336758</v>
      </c>
      <c r="D223" s="3">
        <f t="shared" si="24"/>
        <v>0.34856214719586698</v>
      </c>
      <c r="E223" s="3">
        <f t="shared" si="25"/>
        <v>280.50010058087167</v>
      </c>
      <c r="F223" s="3">
        <f t="shared" si="26"/>
        <v>0.34260295763630289</v>
      </c>
      <c r="G223" s="3">
        <f t="shared" si="27"/>
        <v>280.1668508570221</v>
      </c>
      <c r="H223" s="3">
        <f t="shared" si="28"/>
        <v>1.5312423346301784E-2</v>
      </c>
    </row>
    <row r="224" spans="1:8" x14ac:dyDescent="0.25">
      <c r="A224" s="3">
        <f t="shared" si="29"/>
        <v>212</v>
      </c>
      <c r="B224" s="3">
        <f t="shared" si="30"/>
        <v>212</v>
      </c>
      <c r="C224" s="3">
        <f t="shared" si="31"/>
        <v>280.49712098609189</v>
      </c>
      <c r="D224" s="3">
        <f t="shared" si="24"/>
        <v>0.34265392349251311</v>
      </c>
      <c r="E224" s="3">
        <f t="shared" si="25"/>
        <v>280.83977490958438</v>
      </c>
      <c r="F224" s="3">
        <f t="shared" si="26"/>
        <v>0.33678999085388839</v>
      </c>
      <c r="G224" s="3">
        <f t="shared" si="27"/>
        <v>280.51219124532378</v>
      </c>
      <c r="H224" s="3">
        <f t="shared" si="28"/>
        <v>1.5070259231890759E-2</v>
      </c>
    </row>
    <row r="225" spans="1:8" x14ac:dyDescent="0.25">
      <c r="A225" s="3">
        <f t="shared" si="29"/>
        <v>213</v>
      </c>
      <c r="B225" s="3">
        <f t="shared" si="30"/>
        <v>213</v>
      </c>
      <c r="C225" s="3">
        <f t="shared" si="31"/>
        <v>280.83684294326508</v>
      </c>
      <c r="D225" s="3">
        <f t="shared" si="24"/>
        <v>0.33684019079483091</v>
      </c>
      <c r="E225" s="3">
        <f t="shared" si="25"/>
        <v>281.1736831340599</v>
      </c>
      <c r="F225" s="3">
        <f t="shared" si="26"/>
        <v>0.3310701991907547</v>
      </c>
      <c r="G225" s="3">
        <f t="shared" si="27"/>
        <v>280.85167462335795</v>
      </c>
      <c r="H225" s="3">
        <f t="shared" si="28"/>
        <v>1.4831680092868282E-2</v>
      </c>
    </row>
    <row r="226" spans="1:8" x14ac:dyDescent="0.25">
      <c r="A226" s="3">
        <f t="shared" si="29"/>
        <v>214</v>
      </c>
      <c r="B226" s="3">
        <f t="shared" si="30"/>
        <v>214</v>
      </c>
      <c r="C226" s="3">
        <f t="shared" si="31"/>
        <v>281.17079813825785</v>
      </c>
      <c r="D226" s="3">
        <f t="shared" si="24"/>
        <v>0.33111964202274807</v>
      </c>
      <c r="E226" s="3">
        <f t="shared" si="25"/>
        <v>281.50191778028062</v>
      </c>
      <c r="F226" s="3">
        <f t="shared" si="26"/>
        <v>0.32544228595085511</v>
      </c>
      <c r="G226" s="3">
        <f t="shared" si="27"/>
        <v>281.18539477933393</v>
      </c>
      <c r="H226" s="3">
        <f t="shared" si="28"/>
        <v>1.4596641076082051E-2</v>
      </c>
    </row>
    <row r="227" spans="1:8" x14ac:dyDescent="0.25">
      <c r="A227" s="3">
        <f t="shared" si="29"/>
        <v>215</v>
      </c>
      <c r="B227" s="3">
        <f t="shared" si="30"/>
        <v>215</v>
      </c>
      <c r="C227" s="3">
        <f t="shared" si="31"/>
        <v>281.49907910224465</v>
      </c>
      <c r="D227" s="3">
        <f t="shared" si="24"/>
        <v>0.32549098048318104</v>
      </c>
      <c r="E227" s="3">
        <f t="shared" si="25"/>
        <v>281.8245700827278</v>
      </c>
      <c r="F227" s="3">
        <f t="shared" si="26"/>
        <v>0.31990496507676197</v>
      </c>
      <c r="G227" s="3">
        <f t="shared" si="27"/>
        <v>281.51344419983934</v>
      </c>
      <c r="H227" s="3">
        <f t="shared" si="28"/>
        <v>1.4365097594691179E-2</v>
      </c>
    </row>
    <row r="228" spans="1:8" x14ac:dyDescent="0.25">
      <c r="A228" s="3">
        <f t="shared" si="29"/>
        <v>216</v>
      </c>
      <c r="B228" s="3">
        <f t="shared" si="30"/>
        <v>216</v>
      </c>
      <c r="C228" s="3">
        <f t="shared" si="31"/>
        <v>281.82177707502461</v>
      </c>
      <c r="D228" s="3">
        <f t="shared" si="24"/>
        <v>0.31995292011657089</v>
      </c>
      <c r="E228" s="3">
        <f t="shared" si="25"/>
        <v>282.14172999514119</v>
      </c>
      <c r="F228" s="3">
        <f t="shared" si="26"/>
        <v>0.31445696137763973</v>
      </c>
      <c r="G228" s="3">
        <f t="shared" si="27"/>
        <v>281.83591408036153</v>
      </c>
      <c r="H228" s="3">
        <f t="shared" si="28"/>
        <v>1.4137005336920083E-2</v>
      </c>
    </row>
    <row r="229" spans="1:8" x14ac:dyDescent="0.25">
      <c r="A229" s="3">
        <f t="shared" si="29"/>
        <v>217</v>
      </c>
      <c r="B229" s="3">
        <f t="shared" si="30"/>
        <v>217</v>
      </c>
      <c r="C229" s="3">
        <f t="shared" si="31"/>
        <v>282.13898201577172</v>
      </c>
      <c r="D229" s="3">
        <f t="shared" si="24"/>
        <v>0.31450418572510347</v>
      </c>
      <c r="E229" s="3">
        <f t="shared" si="25"/>
        <v>282.45348620149684</v>
      </c>
      <c r="F229" s="3">
        <f t="shared" si="26"/>
        <v>0.30909701073967638</v>
      </c>
      <c r="G229" s="3">
        <f t="shared" si="27"/>
        <v>282.15289433605039</v>
      </c>
      <c r="H229" s="3">
        <f t="shared" si="28"/>
        <v>1.3912320278677726E-2</v>
      </c>
    </row>
    <row r="230" spans="1:8" x14ac:dyDescent="0.25">
      <c r="A230" s="3">
        <f t="shared" si="29"/>
        <v>218</v>
      </c>
      <c r="B230" s="3">
        <f t="shared" si="30"/>
        <v>218</v>
      </c>
      <c r="C230" s="3">
        <f t="shared" si="31"/>
        <v>282.45078261400408</v>
      </c>
      <c r="D230" s="3">
        <f t="shared" si="24"/>
        <v>0.30914351318335798</v>
      </c>
      <c r="E230" s="3">
        <f t="shared" si="25"/>
        <v>282.75992612718744</v>
      </c>
      <c r="F230" s="3">
        <f t="shared" si="26"/>
        <v>0.30382386031966474</v>
      </c>
      <c r="G230" s="3">
        <f t="shared" si="27"/>
        <v>282.46447361269611</v>
      </c>
      <c r="H230" s="3">
        <f t="shared" si="28"/>
        <v>1.3690998692027279E-2</v>
      </c>
    </row>
    <row r="231" spans="1:8" x14ac:dyDescent="0.25">
      <c r="A231" s="3">
        <f t="shared" si="29"/>
        <v>219</v>
      </c>
      <c r="B231" s="3">
        <f t="shared" si="30"/>
        <v>219</v>
      </c>
      <c r="C231" s="3">
        <f t="shared" si="31"/>
        <v>282.75726630075559</v>
      </c>
      <c r="D231" s="3">
        <f t="shared" si="24"/>
        <v>0.30386964963211377</v>
      </c>
      <c r="E231" s="3">
        <f t="shared" si="25"/>
        <v>283.06113595038772</v>
      </c>
      <c r="F231" s="3">
        <f t="shared" si="26"/>
        <v>0.29863626872244514</v>
      </c>
      <c r="G231" s="3">
        <f t="shared" si="27"/>
        <v>282.77073929790993</v>
      </c>
      <c r="H231" s="3">
        <f t="shared" si="28"/>
        <v>1.3472997154337918E-2</v>
      </c>
    </row>
    <row r="232" spans="1:8" x14ac:dyDescent="0.25">
      <c r="A232" s="3">
        <f t="shared" si="29"/>
        <v>220</v>
      </c>
      <c r="B232" s="3">
        <f t="shared" si="30"/>
        <v>220</v>
      </c>
      <c r="C232" s="3">
        <f t="shared" si="31"/>
        <v>283.05851925993289</v>
      </c>
      <c r="D232" s="3">
        <f t="shared" si="24"/>
        <v>0.29868135365601223</v>
      </c>
      <c r="E232" s="3">
        <f t="shared" si="25"/>
        <v>283.35720061358893</v>
      </c>
      <c r="F232" s="3">
        <f t="shared" si="26"/>
        <v>0.2935330061629105</v>
      </c>
      <c r="G232" s="3">
        <f t="shared" si="27"/>
        <v>283.07177753248936</v>
      </c>
      <c r="H232" s="3">
        <f t="shared" si="28"/>
        <v>1.3258272556470274E-2</v>
      </c>
    </row>
    <row r="233" spans="1:8" x14ac:dyDescent="0.25">
      <c r="A233" s="3">
        <f t="shared" si="29"/>
        <v>221</v>
      </c>
      <c r="B233" s="3">
        <f t="shared" si="30"/>
        <v>221</v>
      </c>
      <c r="C233" s="3">
        <f t="shared" si="31"/>
        <v>283.35462643984238</v>
      </c>
      <c r="D233" s="3">
        <f t="shared" si="24"/>
        <v>0.29357739544575356</v>
      </c>
      <c r="E233" s="3">
        <f t="shared" si="25"/>
        <v>283.64820383528814</v>
      </c>
      <c r="F233" s="3">
        <f t="shared" si="26"/>
        <v>0.28851285461317028</v>
      </c>
      <c r="G233" s="3">
        <f t="shared" si="27"/>
        <v>283.36767322195396</v>
      </c>
      <c r="H233" s="3">
        <f t="shared" si="28"/>
        <v>1.3046782111587163E-2</v>
      </c>
    </row>
    <row r="234" spans="1:8" x14ac:dyDescent="0.25">
      <c r="A234" s="3">
        <f t="shared" si="29"/>
        <v>222</v>
      </c>
      <c r="B234" s="3">
        <f t="shared" si="30"/>
        <v>222</v>
      </c>
      <c r="C234" s="3">
        <f t="shared" si="31"/>
        <v>283.64567156487186</v>
      </c>
      <c r="D234" s="3">
        <f t="shared" si="24"/>
        <v>0.28855655694548621</v>
      </c>
      <c r="E234" s="3">
        <f t="shared" si="25"/>
        <v>283.93422812181734</v>
      </c>
      <c r="F234" s="3">
        <f t="shared" si="26"/>
        <v>0.28357460793557471</v>
      </c>
      <c r="G234" s="3">
        <f t="shared" si="27"/>
        <v>283.65851004823298</v>
      </c>
      <c r="H234" s="3">
        <f t="shared" si="28"/>
        <v>1.2838483361122144E-2</v>
      </c>
    </row>
    <row r="235" spans="1:8" x14ac:dyDescent="0.25">
      <c r="A235" s="3">
        <f t="shared" si="29"/>
        <v>223</v>
      </c>
      <c r="B235" s="3">
        <f t="shared" si="30"/>
        <v>223</v>
      </c>
      <c r="C235" s="3">
        <f t="shared" si="31"/>
        <v>283.93173714731239</v>
      </c>
      <c r="D235" s="3">
        <f t="shared" si="24"/>
        <v>0.28361763198599038</v>
      </c>
      <c r="E235" s="3">
        <f t="shared" si="25"/>
        <v>284.21535477929837</v>
      </c>
      <c r="F235" s="3">
        <f t="shared" si="26"/>
        <v>0.27871707200213947</v>
      </c>
      <c r="G235" s="3">
        <f t="shared" si="27"/>
        <v>283.94437048149496</v>
      </c>
      <c r="H235" s="3">
        <f t="shared" si="28"/>
        <v>1.2633334182567069E-2</v>
      </c>
    </row>
    <row r="236" spans="1:8" x14ac:dyDescent="0.25">
      <c r="A236" s="3">
        <f t="shared" si="29"/>
        <v>224</v>
      </c>
      <c r="B236" s="3">
        <f t="shared" si="30"/>
        <v>224</v>
      </c>
      <c r="C236" s="3">
        <f t="shared" si="31"/>
        <v>284.21290449930643</v>
      </c>
      <c r="D236" s="3">
        <f t="shared" si="24"/>
        <v>0.27875942640432516</v>
      </c>
      <c r="E236" s="3">
        <f t="shared" si="25"/>
        <v>284.49166392571078</v>
      </c>
      <c r="F236" s="3">
        <f t="shared" si="26"/>
        <v>0.27393906480102836</v>
      </c>
      <c r="G236" s="3">
        <f t="shared" si="27"/>
        <v>284.22533579210238</v>
      </c>
      <c r="H236" s="3">
        <f t="shared" si="28"/>
        <v>1.2431292795952231E-2</v>
      </c>
    </row>
    <row r="237" spans="1:8" x14ac:dyDescent="0.25">
      <c r="A237" s="3">
        <f t="shared" si="29"/>
        <v>225</v>
      </c>
      <c r="B237" s="3">
        <f t="shared" si="30"/>
        <v>225</v>
      </c>
      <c r="C237" s="3">
        <f t="shared" si="31"/>
        <v>284.48925374490909</v>
      </c>
      <c r="D237" s="3">
        <f t="shared" si="24"/>
        <v>0.27398075815045841</v>
      </c>
      <c r="E237" s="3">
        <f t="shared" si="25"/>
        <v>284.76323450305955</v>
      </c>
      <c r="F237" s="3">
        <f t="shared" si="26"/>
        <v>0.26923941653059669</v>
      </c>
      <c r="G237" s="3">
        <f t="shared" si="27"/>
        <v>284.50148606267777</v>
      </c>
      <c r="H237" s="3">
        <f t="shared" si="28"/>
        <v>1.2232317768678058E-2</v>
      </c>
    </row>
    <row r="238" spans="1:8" x14ac:dyDescent="0.25">
      <c r="A238" s="3">
        <f t="shared" si="29"/>
        <v>226</v>
      </c>
      <c r="B238" s="3">
        <f t="shared" si="30"/>
        <v>226</v>
      </c>
      <c r="C238" s="3">
        <f t="shared" si="31"/>
        <v>284.76086383224964</v>
      </c>
      <c r="D238" s="3">
        <f t="shared" si="24"/>
        <v>0.26928045738150169</v>
      </c>
      <c r="E238" s="3">
        <f t="shared" si="25"/>
        <v>285.03014428963115</v>
      </c>
      <c r="F238" s="3">
        <f t="shared" si="26"/>
        <v>0.26461696968159099</v>
      </c>
      <c r="G238" s="3">
        <f t="shared" si="27"/>
        <v>284.77290020027101</v>
      </c>
      <c r="H238" s="3">
        <f t="shared" si="28"/>
        <v>1.2036368021369981E-2</v>
      </c>
    </row>
    <row r="239" spans="1:8" x14ac:dyDescent="0.25">
      <c r="A239" s="3">
        <f t="shared" si="29"/>
        <v>227</v>
      </c>
      <c r="B239" s="3">
        <f t="shared" si="30"/>
        <v>227</v>
      </c>
      <c r="C239" s="3">
        <f t="shared" si="31"/>
        <v>285.02781254578116</v>
      </c>
      <c r="D239" s="3">
        <f t="shared" si="24"/>
        <v>0.26465736654408889</v>
      </c>
      <c r="E239" s="3">
        <f t="shared" si="25"/>
        <v>285.29246991232526</v>
      </c>
      <c r="F239" s="3">
        <f t="shared" si="26"/>
        <v>0.26007057910803849</v>
      </c>
      <c r="G239" s="3">
        <f t="shared" si="27"/>
        <v>285.03965594861472</v>
      </c>
      <c r="H239" s="3">
        <f t="shared" si="28"/>
        <v>1.1843402833562777E-2</v>
      </c>
    </row>
    <row r="240" spans="1:8" x14ac:dyDescent="0.25">
      <c r="A240" s="3">
        <f t="shared" si="29"/>
        <v>228</v>
      </c>
      <c r="B240" s="3">
        <f t="shared" si="30"/>
        <v>228</v>
      </c>
      <c r="C240" s="3">
        <f t="shared" si="31"/>
        <v>285.29017651860721</v>
      </c>
      <c r="D240" s="3">
        <f t="shared" si="24"/>
        <v>0.26011034044538867</v>
      </c>
      <c r="E240" s="3">
        <f t="shared" si="25"/>
        <v>285.55028685905262</v>
      </c>
      <c r="F240" s="3">
        <f t="shared" si="26"/>
        <v>0.25559911208727737</v>
      </c>
      <c r="G240" s="3">
        <f t="shared" si="27"/>
        <v>285.30182990045427</v>
      </c>
      <c r="H240" s="3">
        <f t="shared" si="28"/>
        <v>1.1653381847054334E-2</v>
      </c>
    </row>
    <row r="241" spans="1:8" x14ac:dyDescent="0.25">
      <c r="A241" s="3">
        <f t="shared" si="29"/>
        <v>229</v>
      </c>
      <c r="B241" s="3">
        <f t="shared" si="30"/>
        <v>229</v>
      </c>
      <c r="C241" s="3">
        <f t="shared" si="31"/>
        <v>285.54803124487353</v>
      </c>
      <c r="D241" s="3">
        <f t="shared" si="24"/>
        <v>0.25563824631332616</v>
      </c>
      <c r="E241" s="3">
        <f t="shared" si="25"/>
        <v>285.80366949118684</v>
      </c>
      <c r="F241" s="3">
        <f t="shared" si="26"/>
        <v>0.25120144836969754</v>
      </c>
      <c r="G241" s="3">
        <f t="shared" si="27"/>
        <v>285.55949750994387</v>
      </c>
      <c r="H241" s="3">
        <f t="shared" si="28"/>
        <v>1.1466265070339432E-2</v>
      </c>
    </row>
    <row r="242" spans="1:8" x14ac:dyDescent="0.25">
      <c r="A242" s="3">
        <f t="shared" si="29"/>
        <v>230</v>
      </c>
      <c r="B242" s="3">
        <f t="shared" si="30"/>
        <v>230</v>
      </c>
      <c r="C242" s="3">
        <f t="shared" si="31"/>
        <v>285.80145109221502</v>
      </c>
      <c r="D242" s="3">
        <f t="shared" si="24"/>
        <v>0.25123996384646746</v>
      </c>
      <c r="E242" s="3">
        <f t="shared" si="25"/>
        <v>286.05269105606146</v>
      </c>
      <c r="F242" s="3">
        <f t="shared" si="26"/>
        <v>0.24687648021862965</v>
      </c>
      <c r="G242" s="3">
        <f t="shared" si="27"/>
        <v>285.81273310509789</v>
      </c>
      <c r="H242" s="3">
        <f t="shared" si="28"/>
        <v>1.1282012882873005E-2</v>
      </c>
    </row>
    <row r="243" spans="1:8" x14ac:dyDescent="0.25">
      <c r="A243" s="3">
        <f t="shared" si="29"/>
        <v>231</v>
      </c>
      <c r="B243" s="3">
        <f t="shared" si="30"/>
        <v>231</v>
      </c>
      <c r="C243" s="3">
        <f t="shared" si="31"/>
        <v>286.05050931424756</v>
      </c>
      <c r="D243" s="3">
        <f t="shared" si="24"/>
        <v>0.24691438525402862</v>
      </c>
      <c r="E243" s="3">
        <f t="shared" si="25"/>
        <v>286.29742369950156</v>
      </c>
      <c r="F243" s="3">
        <f t="shared" si="26"/>
        <v>0.24262311244082804</v>
      </c>
      <c r="G243" s="3">
        <f t="shared" si="27"/>
        <v>286.06160990028548</v>
      </c>
      <c r="H243" s="3">
        <f t="shared" si="28"/>
        <v>1.1100586037912308E-2</v>
      </c>
    </row>
    <row r="244" spans="1:8" x14ac:dyDescent="0.25">
      <c r="A244" s="3">
        <f t="shared" si="29"/>
        <v>232</v>
      </c>
      <c r="B244" s="3">
        <f t="shared" si="30"/>
        <v>232</v>
      </c>
      <c r="C244" s="3">
        <f t="shared" si="31"/>
        <v>286.295278063095</v>
      </c>
      <c r="D244" s="3">
        <f t="shared" si="24"/>
        <v>0.2426604152865354</v>
      </c>
      <c r="E244" s="3">
        <f t="shared" si="25"/>
        <v>286.53793847838153</v>
      </c>
      <c r="F244" s="3">
        <f t="shared" si="26"/>
        <v>0.23844026240803179</v>
      </c>
      <c r="G244" s="3">
        <f t="shared" si="27"/>
        <v>286.30620000876047</v>
      </c>
      <c r="H244" s="3">
        <f t="shared" si="28"/>
        <v>1.0921945665472776E-2</v>
      </c>
    </row>
    <row r="245" spans="1:8" x14ac:dyDescent="0.25">
      <c r="A245" s="3">
        <f t="shared" si="29"/>
        <v>233</v>
      </c>
      <c r="B245" s="3">
        <f t="shared" si="30"/>
        <v>233</v>
      </c>
      <c r="C245" s="3">
        <f t="shared" si="31"/>
        <v>286.5358284019423</v>
      </c>
      <c r="D245" s="3">
        <f t="shared" si="24"/>
        <v>0.23847697125748515</v>
      </c>
      <c r="E245" s="3">
        <f t="shared" si="25"/>
        <v>286.77430537319981</v>
      </c>
      <c r="F245" s="3">
        <f t="shared" si="26"/>
        <v>0.23432686006998732</v>
      </c>
      <c r="G245" s="3">
        <f t="shared" si="27"/>
        <v>286.54657445521735</v>
      </c>
      <c r="H245" s="3">
        <f t="shared" si="28"/>
        <v>1.0746053275056511E-2</v>
      </c>
    </row>
    <row r="246" spans="1:8" x14ac:dyDescent="0.25">
      <c r="A246" s="3">
        <f t="shared" si="29"/>
        <v>234</v>
      </c>
      <c r="B246" s="3">
        <f t="shared" si="30"/>
        <v>234</v>
      </c>
      <c r="C246" s="3">
        <f t="shared" si="31"/>
        <v>286.77223031760604</v>
      </c>
      <c r="D246" s="3">
        <f t="shared" si="24"/>
        <v>0.23436298305651532</v>
      </c>
      <c r="E246" s="3">
        <f t="shared" si="25"/>
        <v>287.00659330066259</v>
      </c>
      <c r="F246" s="3">
        <f t="shared" si="26"/>
        <v>0.23028184795937304</v>
      </c>
      <c r="G246" s="3">
        <f t="shared" si="27"/>
        <v>286.78280318836426</v>
      </c>
      <c r="H246" s="3">
        <f t="shared" si="28"/>
        <v>1.0572870758210229E-2</v>
      </c>
    </row>
    <row r="247" spans="1:8" x14ac:dyDescent="0.25">
      <c r="A247" s="3">
        <f t="shared" si="29"/>
        <v>235</v>
      </c>
      <c r="B247" s="3">
        <f t="shared" si="30"/>
        <v>235</v>
      </c>
      <c r="C247" s="3">
        <f t="shared" si="31"/>
        <v>287.004552733114</v>
      </c>
      <c r="D247" s="3">
        <f t="shared" si="24"/>
        <v>0.23031739315444397</v>
      </c>
      <c r="E247" s="3">
        <f t="shared" si="25"/>
        <v>287.23487012626845</v>
      </c>
      <c r="F247" s="3">
        <f t="shared" si="26"/>
        <v>0.22630418118900272</v>
      </c>
      <c r="G247" s="3">
        <f t="shared" si="27"/>
        <v>287.01495509350417</v>
      </c>
      <c r="H247" s="3">
        <f t="shared" si="28"/>
        <v>1.0402360390173726E-2</v>
      </c>
    </row>
    <row r="248" spans="1:8" x14ac:dyDescent="0.25">
      <c r="A248" s="3">
        <f t="shared" si="29"/>
        <v>236</v>
      </c>
      <c r="B248" s="3">
        <f t="shared" si="30"/>
        <v>236</v>
      </c>
      <c r="C248" s="3">
        <f t="shared" si="31"/>
        <v>287.23286352028572</v>
      </c>
      <c r="D248" s="3">
        <f t="shared" si="24"/>
        <v>0.22633915660060827</v>
      </c>
      <c r="E248" s="3">
        <f t="shared" si="25"/>
        <v>287.45920267688632</v>
      </c>
      <c r="F248" s="3">
        <f t="shared" si="26"/>
        <v>0.22239282744171152</v>
      </c>
      <c r="G248" s="3">
        <f t="shared" si="27"/>
        <v>287.24309800511753</v>
      </c>
      <c r="H248" s="3">
        <f t="shared" si="28"/>
        <v>1.0234484831812551E-2</v>
      </c>
    </row>
    <row r="249" spans="1:8" x14ac:dyDescent="0.25">
      <c r="A249" s="3">
        <f t="shared" si="29"/>
        <v>237</v>
      </c>
      <c r="B249" s="3">
        <f t="shared" si="30"/>
        <v>237</v>
      </c>
      <c r="C249" s="3">
        <f t="shared" si="31"/>
        <v>287.45722951230687</v>
      </c>
      <c r="D249" s="3">
        <f t="shared" si="24"/>
        <v>0.22242724101283831</v>
      </c>
      <c r="E249" s="3">
        <f t="shared" si="25"/>
        <v>287.6796567533197</v>
      </c>
      <c r="F249" s="3">
        <f t="shared" si="26"/>
        <v>0.21854676695327324</v>
      </c>
      <c r="G249" s="3">
        <f t="shared" si="27"/>
        <v>287.46729871943791</v>
      </c>
      <c r="H249" s="3">
        <f t="shared" si="28"/>
        <v>1.0069207131039093E-2</v>
      </c>
    </row>
    <row r="250" spans="1:8" x14ac:dyDescent="0.25">
      <c r="A250" s="3">
        <f t="shared" si="29"/>
        <v>238</v>
      </c>
      <c r="B250" s="3">
        <f t="shared" si="30"/>
        <v>238</v>
      </c>
      <c r="C250" s="3">
        <f t="shared" si="31"/>
        <v>287.67771651628993</v>
      </c>
      <c r="D250" s="3">
        <f t="shared" si="24"/>
        <v>0.21858062656050622</v>
      </c>
      <c r="E250" s="3">
        <f t="shared" si="25"/>
        <v>287.89629714285041</v>
      </c>
      <c r="F250" s="3">
        <f t="shared" si="26"/>
        <v>0.21476499248869543</v>
      </c>
      <c r="G250" s="3">
        <f t="shared" si="27"/>
        <v>287.68762300701343</v>
      </c>
      <c r="H250" s="3">
        <f t="shared" si="28"/>
        <v>9.9064907234946986E-3</v>
      </c>
    </row>
    <row r="251" spans="1:8" x14ac:dyDescent="0.25">
      <c r="A251" s="3">
        <f t="shared" si="29"/>
        <v>239</v>
      </c>
      <c r="B251" s="3">
        <f t="shared" si="30"/>
        <v>239</v>
      </c>
      <c r="C251" s="3">
        <f t="shared" si="31"/>
        <v>287.89438932581453</v>
      </c>
      <c r="D251" s="3">
        <f t="shared" si="24"/>
        <v>0.21479830594092197</v>
      </c>
      <c r="E251" s="3">
        <f t="shared" si="25"/>
        <v>288.10918763175545</v>
      </c>
      <c r="F251" s="3">
        <f t="shared" si="26"/>
        <v>0.2110465093122694</v>
      </c>
      <c r="G251" s="3">
        <f t="shared" si="27"/>
        <v>287.90413562524884</v>
      </c>
      <c r="H251" s="3">
        <f t="shared" si="28"/>
        <v>9.7462994343118226E-3</v>
      </c>
    </row>
    <row r="252" spans="1:8" x14ac:dyDescent="0.25">
      <c r="A252" s="3">
        <f t="shared" si="29"/>
        <v>240</v>
      </c>
      <c r="B252" s="3">
        <f t="shared" si="30"/>
        <v>240</v>
      </c>
      <c r="C252" s="3">
        <f t="shared" si="31"/>
        <v>288.10731173344112</v>
      </c>
      <c r="D252" s="3">
        <f t="shared" si="24"/>
        <v>0.21107928434947923</v>
      </c>
      <c r="E252" s="3">
        <f t="shared" si="25"/>
        <v>288.31839101779059</v>
      </c>
      <c r="F252" s="3">
        <f t="shared" si="26"/>
        <v>0.20739033515166272</v>
      </c>
      <c r="G252" s="3">
        <f t="shared" si="27"/>
        <v>288.11690033091929</v>
      </c>
      <c r="H252" s="3">
        <f t="shared" si="28"/>
        <v>9.5885974781708683E-3</v>
      </c>
    </row>
    <row r="253" spans="1:8" x14ac:dyDescent="0.25">
      <c r="A253" s="3">
        <f t="shared" si="29"/>
        <v>241</v>
      </c>
      <c r="B253" s="3">
        <f t="shared" si="30"/>
        <v>241</v>
      </c>
      <c r="C253" s="3">
        <f t="shared" si="31"/>
        <v>288.31654654319169</v>
      </c>
      <c r="D253" s="3">
        <f t="shared" si="24"/>
        <v>0.20742257944384185</v>
      </c>
      <c r="E253" s="3">
        <f t="shared" si="25"/>
        <v>288.52396912263555</v>
      </c>
      <c r="F253" s="3">
        <f t="shared" si="26"/>
        <v>0.20379550015638576</v>
      </c>
      <c r="G253" s="3">
        <f t="shared" si="27"/>
        <v>288.32597989265099</v>
      </c>
      <c r="H253" s="3">
        <f t="shared" si="28"/>
        <v>9.4333494593001888E-3</v>
      </c>
    </row>
    <row r="254" spans="1:8" x14ac:dyDescent="0.25">
      <c r="A254" s="3">
        <f t="shared" si="29"/>
        <v>242</v>
      </c>
      <c r="B254" s="3">
        <f t="shared" si="30"/>
        <v>242</v>
      </c>
      <c r="C254" s="3">
        <f t="shared" si="31"/>
        <v>288.52215558299179</v>
      </c>
      <c r="D254" s="3">
        <f t="shared" si="24"/>
        <v>0.20382722130252381</v>
      </c>
      <c r="E254" s="3">
        <f t="shared" si="25"/>
        <v>288.72598280429429</v>
      </c>
      <c r="F254" s="3">
        <f t="shared" si="26"/>
        <v>0.20026104685094701</v>
      </c>
      <c r="G254" s="3">
        <f t="shared" si="27"/>
        <v>288.53143610336434</v>
      </c>
      <c r="H254" s="3">
        <f t="shared" si="28"/>
        <v>9.2805203725561114E-3</v>
      </c>
    </row>
    <row r="255" spans="1:8" x14ac:dyDescent="0.25">
      <c r="A255" s="3">
        <f t="shared" si="29"/>
        <v>243</v>
      </c>
      <c r="B255" s="3">
        <f t="shared" si="30"/>
        <v>243</v>
      </c>
      <c r="C255" s="3">
        <f t="shared" si="31"/>
        <v>288.72419971706853</v>
      </c>
      <c r="D255" s="3">
        <f t="shared" si="24"/>
        <v>0.20029225237811205</v>
      </c>
      <c r="E255" s="3">
        <f t="shared" si="25"/>
        <v>288.92449196944665</v>
      </c>
      <c r="F255" s="3">
        <f t="shared" si="26"/>
        <v>0.19678603008296727</v>
      </c>
      <c r="G255" s="3">
        <f t="shared" si="27"/>
        <v>288.73332979267138</v>
      </c>
      <c r="H255" s="3">
        <f t="shared" si="28"/>
        <v>9.1300756028545038E-3</v>
      </c>
    </row>
    <row r="256" spans="1:8" x14ac:dyDescent="0.25">
      <c r="A256" s="3">
        <f t="shared" si="29"/>
        <v>244</v>
      </c>
      <c r="B256" s="3">
        <f t="shared" si="30"/>
        <v>244</v>
      </c>
      <c r="C256" s="3">
        <f t="shared" si="31"/>
        <v>288.92273885829906</v>
      </c>
      <c r="D256" s="3">
        <f t="shared" si="24"/>
        <v>0.19681672744547665</v>
      </c>
      <c r="E256" s="3">
        <f t="shared" si="25"/>
        <v>289.11955558574454</v>
      </c>
      <c r="F256" s="3">
        <f t="shared" si="26"/>
        <v>0.19336951696655177</v>
      </c>
      <c r="G256" s="3">
        <f t="shared" si="27"/>
        <v>288.93172083922445</v>
      </c>
      <c r="H256" s="3">
        <f t="shared" si="28"/>
        <v>8.9819809253981475E-3</v>
      </c>
    </row>
    <row r="257" spans="1:8" x14ac:dyDescent="0.25">
      <c r="A257" s="3">
        <f t="shared" si="29"/>
        <v>245</v>
      </c>
      <c r="B257" s="3">
        <f t="shared" si="30"/>
        <v>245</v>
      </c>
      <c r="C257" s="3">
        <f t="shared" si="31"/>
        <v>289.11783198050506</v>
      </c>
      <c r="D257" s="3">
        <f t="shared" si="24"/>
        <v>0.19339971354522195</v>
      </c>
      <c r="E257" s="3">
        <f t="shared" si="25"/>
        <v>289.31123169405026</v>
      </c>
      <c r="F257" s="3">
        <f t="shared" si="26"/>
        <v>0.19001058682117147</v>
      </c>
      <c r="G257" s="3">
        <f t="shared" si="27"/>
        <v>289.12666818300892</v>
      </c>
      <c r="H257" s="3">
        <f t="shared" si="28"/>
        <v>8.8362025038577485E-3</v>
      </c>
    </row>
    <row r="258" spans="1:8" x14ac:dyDescent="0.25">
      <c r="A258" s="3">
        <f t="shared" si="29"/>
        <v>246</v>
      </c>
      <c r="B258" s="3">
        <f t="shared" si="30"/>
        <v>246</v>
      </c>
      <c r="C258" s="3">
        <f t="shared" si="31"/>
        <v>289.30953713068828</v>
      </c>
      <c r="D258" s="3">
        <f t="shared" si="24"/>
        <v>0.19004028992265093</v>
      </c>
      <c r="E258" s="3">
        <f t="shared" si="25"/>
        <v>289.49957742061093</v>
      </c>
      <c r="F258" s="3">
        <f t="shared" si="26"/>
        <v>0.18670833110633031</v>
      </c>
      <c r="G258" s="3">
        <f t="shared" si="27"/>
        <v>289.3182298375803</v>
      </c>
      <c r="H258" s="3">
        <f t="shared" si="28"/>
        <v>8.6927068920203965E-3</v>
      </c>
    </row>
    <row r="259" spans="1:8" x14ac:dyDescent="0.25">
      <c r="A259" s="3">
        <f t="shared" si="29"/>
        <v>247</v>
      </c>
      <c r="B259" s="3">
        <f t="shared" si="30"/>
        <v>247</v>
      </c>
      <c r="C259" s="3">
        <f t="shared" si="31"/>
        <v>289.4979114412028</v>
      </c>
      <c r="D259" s="3">
        <f t="shared" si="24"/>
        <v>0.18673754796251243</v>
      </c>
      <c r="E259" s="3">
        <f t="shared" si="25"/>
        <v>289.68464898916534</v>
      </c>
      <c r="F259" s="3">
        <f t="shared" si="26"/>
        <v>0.18346185335227375</v>
      </c>
      <c r="G259" s="3">
        <f t="shared" si="27"/>
        <v>289.50646290223318</v>
      </c>
      <c r="H259" s="3">
        <f t="shared" si="28"/>
        <v>8.5514610303789595E-3</v>
      </c>
    </row>
    <row r="260" spans="1:8" x14ac:dyDescent="0.25">
      <c r="A260" s="3">
        <f t="shared" si="29"/>
        <v>248</v>
      </c>
      <c r="B260" s="3">
        <f t="shared" si="30"/>
        <v>248</v>
      </c>
      <c r="C260" s="3">
        <f t="shared" si="31"/>
        <v>289.68301114186022</v>
      </c>
      <c r="D260" s="3">
        <f t="shared" si="24"/>
        <v>0.18349059111975707</v>
      </c>
      <c r="E260" s="3">
        <f t="shared" si="25"/>
        <v>289.86650173298</v>
      </c>
      <c r="F260" s="3">
        <f t="shared" si="26"/>
        <v>0.18027026908693017</v>
      </c>
      <c r="G260" s="3">
        <f t="shared" si="27"/>
        <v>289.69142357410783</v>
      </c>
      <c r="H260" s="3">
        <f t="shared" si="28"/>
        <v>8.4124322476100133E-3</v>
      </c>
    </row>
    <row r="261" spans="1:8" x14ac:dyDescent="0.25">
      <c r="A261" s="3">
        <f t="shared" si="29"/>
        <v>249</v>
      </c>
      <c r="B261" s="3">
        <f t="shared" si="30"/>
        <v>249</v>
      </c>
      <c r="C261" s="3">
        <f t="shared" si="31"/>
        <v>289.86489157196354</v>
      </c>
      <c r="D261" s="3">
        <f t="shared" si="24"/>
        <v>0.18029853484658004</v>
      </c>
      <c r="E261" s="3">
        <f t="shared" si="25"/>
        <v>290.04519010681014</v>
      </c>
      <c r="F261" s="3">
        <f t="shared" si="26"/>
        <v>0.17713270575937418</v>
      </c>
      <c r="G261" s="3">
        <f t="shared" si="27"/>
        <v>289.87316716022139</v>
      </c>
      <c r="H261" s="3">
        <f t="shared" si="28"/>
        <v>8.2755882578453566E-3</v>
      </c>
    </row>
    <row r="262" spans="1:8" x14ac:dyDescent="0.25">
      <c r="A262" s="3">
        <f t="shared" si="29"/>
        <v>250</v>
      </c>
      <c r="B262" s="3">
        <f t="shared" si="30"/>
        <v>250</v>
      </c>
      <c r="C262" s="3">
        <f t="shared" si="31"/>
        <v>290.04360719226651</v>
      </c>
      <c r="D262" s="3">
        <f t="shared" si="24"/>
        <v>0.17716050651593268</v>
      </c>
      <c r="E262" s="3">
        <f t="shared" si="25"/>
        <v>290.22076769878242</v>
      </c>
      <c r="F262" s="3">
        <f t="shared" si="26"/>
        <v>0.17404830266000579</v>
      </c>
      <c r="G262" s="3">
        <f t="shared" si="27"/>
        <v>290.05174808942598</v>
      </c>
      <c r="H262" s="3">
        <f t="shared" si="28"/>
        <v>8.1408971594782997E-3</v>
      </c>
    </row>
    <row r="263" spans="1:8" x14ac:dyDescent="0.25">
      <c r="A263" s="3">
        <f t="shared" si="29"/>
        <v>251</v>
      </c>
      <c r="B263" s="3">
        <f t="shared" si="30"/>
        <v>251</v>
      </c>
      <c r="C263" s="3">
        <f t="shared" si="31"/>
        <v>290.21921159685445</v>
      </c>
      <c r="D263" s="3">
        <f t="shared" si="24"/>
        <v>0.17407564534176728</v>
      </c>
      <c r="E263" s="3">
        <f t="shared" si="25"/>
        <v>290.39328724219621</v>
      </c>
      <c r="F263" s="3">
        <f t="shared" si="26"/>
        <v>0.1710162108376464</v>
      </c>
      <c r="G263" s="3">
        <f t="shared" si="27"/>
        <v>290.22721992428899</v>
      </c>
      <c r="H263" s="3">
        <f t="shared" si="28"/>
        <v>8.008327434538387E-3</v>
      </c>
    </row>
    <row r="264" spans="1:8" x14ac:dyDescent="0.25">
      <c r="A264" s="3">
        <f t="shared" si="29"/>
        <v>252</v>
      </c>
      <c r="B264" s="3">
        <f t="shared" si="30"/>
        <v>252</v>
      </c>
      <c r="C264" s="3">
        <f t="shared" si="31"/>
        <v>290.39175752494418</v>
      </c>
      <c r="D264" s="3">
        <f t="shared" si="24"/>
        <v>0.17104310229619041</v>
      </c>
      <c r="E264" s="3">
        <f t="shared" si="25"/>
        <v>290.56280062724039</v>
      </c>
      <c r="F264" s="3">
        <f t="shared" si="26"/>
        <v>0.16803559301377613</v>
      </c>
      <c r="G264" s="3">
        <f t="shared" si="27"/>
        <v>290.39963537289088</v>
      </c>
      <c r="H264" s="3">
        <f t="shared" si="28"/>
        <v>7.8778479467018769E-3</v>
      </c>
    </row>
    <row r="265" spans="1:8" x14ac:dyDescent="0.25">
      <c r="A265" s="3">
        <f t="shared" si="29"/>
        <v>253</v>
      </c>
      <c r="B265" s="3">
        <f t="shared" si="30"/>
        <v>253</v>
      </c>
      <c r="C265" s="3">
        <f t="shared" si="31"/>
        <v>290.56129687259914</v>
      </c>
      <c r="D265" s="3">
        <f t="shared" si="24"/>
        <v>0.16806204002376807</v>
      </c>
      <c r="E265" s="3">
        <f t="shared" si="25"/>
        <v>290.7293589126229</v>
      </c>
      <c r="F265" s="3">
        <f t="shared" si="26"/>
        <v>0.16510562349409225</v>
      </c>
      <c r="G265" s="3">
        <f t="shared" si="27"/>
        <v>290.56904630053867</v>
      </c>
      <c r="H265" s="3">
        <f t="shared" si="28"/>
        <v>7.7494279395295962E-3</v>
      </c>
    </row>
    <row r="266" spans="1:8" x14ac:dyDescent="0.25">
      <c r="A266" s="3">
        <f t="shared" si="29"/>
        <v>254</v>
      </c>
      <c r="B266" s="3">
        <f t="shared" si="30"/>
        <v>254</v>
      </c>
      <c r="C266" s="3">
        <f t="shared" si="31"/>
        <v>290.72788070435809</v>
      </c>
      <c r="D266" s="3">
        <f t="shared" si="24"/>
        <v>0.16513163275312595</v>
      </c>
      <c r="E266" s="3">
        <f t="shared" si="25"/>
        <v>290.8930123371112</v>
      </c>
      <c r="F266" s="3">
        <f t="shared" si="26"/>
        <v>0.16222548807757675</v>
      </c>
      <c r="G266" s="3">
        <f t="shared" si="27"/>
        <v>290.73550374139217</v>
      </c>
      <c r="H266" s="3">
        <f t="shared" si="28"/>
        <v>7.6230370340795162E-3</v>
      </c>
    </row>
    <row r="267" spans="1:8" x14ac:dyDescent="0.25">
      <c r="A267" s="3">
        <f t="shared" si="29"/>
        <v>255</v>
      </c>
      <c r="B267" s="3">
        <f t="shared" si="30"/>
        <v>255</v>
      </c>
      <c r="C267" s="3">
        <f t="shared" si="31"/>
        <v>290.89155926477343</v>
      </c>
      <c r="D267" s="3">
        <f t="shared" si="24"/>
        <v>0.16225106620607593</v>
      </c>
      <c r="E267" s="3">
        <f t="shared" si="25"/>
        <v>291.0538103309795</v>
      </c>
      <c r="F267" s="3">
        <f t="shared" si="26"/>
        <v>0.15939438396326019</v>
      </c>
      <c r="G267" s="3">
        <f t="shared" si="27"/>
        <v>290.89905791000189</v>
      </c>
      <c r="H267" s="3">
        <f t="shared" si="28"/>
        <v>7.4986452284520055E-3</v>
      </c>
    </row>
    <row r="268" spans="1:8" x14ac:dyDescent="0.25">
      <c r="A268" s="3">
        <f t="shared" si="29"/>
        <v>256</v>
      </c>
      <c r="B268" s="3">
        <f t="shared" si="30"/>
        <v>256</v>
      </c>
      <c r="C268" s="3">
        <f t="shared" si="31"/>
        <v>291.05238198985808</v>
      </c>
      <c r="D268" s="3">
        <f t="shared" ref="D268:D331" si="32">$B$3*C268^(3/4)*(1-(C268/$B$4)^(1/4))</f>
        <v>0.15941953750443841</v>
      </c>
      <c r="E268" s="3">
        <f t="shared" ref="E268:E331" si="33">C268+$B$6*D268</f>
        <v>291.21180152736252</v>
      </c>
      <c r="F268" s="3">
        <f t="shared" ref="F268:F331" si="34">$B$3*E268^(3/4)*(1-(E268/$B$4)^(1/4))</f>
        <v>0.15661151965485309</v>
      </c>
      <c r="G268" s="3">
        <f t="shared" ref="G268:G331" si="35">( $B$8 + ($B$9-$B$8)*EXP(-$B$3*B268/(4*$B$8)) )^4</f>
        <v>291.05975821275285</v>
      </c>
      <c r="H268" s="3">
        <f t="shared" ref="H268:H331" si="36">ABS(C268-G268)</f>
        <v>7.3762228947771291E-3</v>
      </c>
    </row>
    <row r="269" spans="1:8" x14ac:dyDescent="0.25">
      <c r="A269" s="3">
        <f t="shared" ref="A269:A332" si="37">A268+1</f>
        <v>257</v>
      </c>
      <c r="B269" s="3">
        <f t="shared" ref="B269:B332" si="38">B268+$B$6</f>
        <v>257</v>
      </c>
      <c r="C269" s="3">
        <f t="shared" ref="C269:C332" si="39">C268+($B$6/2)*(D268+F268)</f>
        <v>291.21039751843773</v>
      </c>
      <c r="D269" s="3">
        <f t="shared" si="32"/>
        <v>0.15663625507470097</v>
      </c>
      <c r="E269" s="3">
        <f t="shared" si="33"/>
        <v>291.36703377351245</v>
      </c>
      <c r="F269" s="3">
        <f t="shared" si="34"/>
        <v>0.15387611486339509</v>
      </c>
      <c r="G269" s="3">
        <f t="shared" si="35"/>
        <v>291.21765325921422</v>
      </c>
      <c r="H269" s="3">
        <f t="shared" si="36"/>
        <v>7.2557407764861637E-3</v>
      </c>
    </row>
    <row r="270" spans="1:8" x14ac:dyDescent="0.25">
      <c r="A270" s="3">
        <f t="shared" si="37"/>
        <v>258</v>
      </c>
      <c r="B270" s="3">
        <f t="shared" si="38"/>
        <v>258</v>
      </c>
      <c r="C270" s="3">
        <f t="shared" si="39"/>
        <v>291.36565370340679</v>
      </c>
      <c r="D270" s="3">
        <f t="shared" si="32"/>
        <v>0.15390043855072971</v>
      </c>
      <c r="E270" s="3">
        <f t="shared" si="33"/>
        <v>291.51955414195754</v>
      </c>
      <c r="F270" s="3">
        <f t="shared" si="34"/>
        <v>0.15118740040808876</v>
      </c>
      <c r="G270" s="3">
        <f t="shared" si="35"/>
        <v>291.37279087339419</v>
      </c>
      <c r="H270" s="3">
        <f t="shared" si="36"/>
        <v>7.1371699874021033E-3</v>
      </c>
    </row>
    <row r="271" spans="1:8" x14ac:dyDescent="0.25">
      <c r="A271" s="3">
        <f t="shared" si="37"/>
        <v>259</v>
      </c>
      <c r="B271" s="3">
        <f t="shared" si="38"/>
        <v>259</v>
      </c>
      <c r="C271" s="3">
        <f t="shared" si="39"/>
        <v>291.51819762288619</v>
      </c>
      <c r="D271" s="3">
        <f t="shared" si="32"/>
        <v>0.15121131867463902</v>
      </c>
      <c r="E271" s="3">
        <f t="shared" si="33"/>
        <v>291.66940894156085</v>
      </c>
      <c r="F271" s="3">
        <f t="shared" si="34"/>
        <v>0.14854461811548023</v>
      </c>
      <c r="G271" s="3">
        <f t="shared" si="35"/>
        <v>291.5252181048948</v>
      </c>
      <c r="H271" s="3">
        <f t="shared" si="36"/>
        <v>7.0204820086132713E-3</v>
      </c>
    </row>
    <row r="272" spans="1:8" x14ac:dyDescent="0.25">
      <c r="A272" s="3">
        <f t="shared" si="37"/>
        <v>260</v>
      </c>
      <c r="B272" s="3">
        <f t="shared" si="38"/>
        <v>260</v>
      </c>
      <c r="C272" s="3">
        <f t="shared" si="39"/>
        <v>291.66807559128125</v>
      </c>
      <c r="D272" s="3">
        <f t="shared" si="32"/>
        <v>0.14856813719601203</v>
      </c>
      <c r="E272" s="3">
        <f t="shared" si="33"/>
        <v>291.81664372847729</v>
      </c>
      <c r="F272" s="3">
        <f t="shared" si="34"/>
        <v>0.14594702071709786</v>
      </c>
      <c r="G272" s="3">
        <f t="shared" si="35"/>
        <v>291.67498123996745</v>
      </c>
      <c r="H272" s="3">
        <f t="shared" si="36"/>
        <v>6.9056486861995836E-3</v>
      </c>
    </row>
    <row r="273" spans="1:8" x14ac:dyDescent="0.25">
      <c r="A273" s="3">
        <f t="shared" si="37"/>
        <v>261</v>
      </c>
      <c r="B273" s="3">
        <f t="shared" si="38"/>
        <v>261</v>
      </c>
      <c r="C273" s="3">
        <f t="shared" si="39"/>
        <v>291.81533317023781</v>
      </c>
      <c r="D273" s="3">
        <f t="shared" si="32"/>
        <v>0.14597014676958583</v>
      </c>
      <c r="E273" s="3">
        <f t="shared" si="33"/>
        <v>291.96130331700738</v>
      </c>
      <c r="F273" s="3">
        <f t="shared" si="34"/>
        <v>0.14339387174573678</v>
      </c>
      <c r="G273" s="3">
        <f t="shared" si="35"/>
        <v>291.8221258124666</v>
      </c>
      <c r="H273" s="3">
        <f t="shared" si="36"/>
        <v>6.7926422287882815E-3</v>
      </c>
    </row>
    <row r="274" spans="1:8" x14ac:dyDescent="0.25">
      <c r="A274" s="3">
        <f t="shared" si="37"/>
        <v>262</v>
      </c>
      <c r="B274" s="3">
        <f t="shared" si="38"/>
        <v>262</v>
      </c>
      <c r="C274" s="3">
        <f t="shared" si="39"/>
        <v>291.96001517949549</v>
      </c>
      <c r="D274" s="3">
        <f t="shared" si="32"/>
        <v>0.1434166108515593</v>
      </c>
      <c r="E274" s="3">
        <f t="shared" si="33"/>
        <v>292.10343179034703</v>
      </c>
      <c r="F274" s="3">
        <f t="shared" si="34"/>
        <v>0.14088444543046025</v>
      </c>
      <c r="G274" s="3">
        <f t="shared" si="35"/>
        <v>291.96669661470031</v>
      </c>
      <c r="H274" s="3">
        <f t="shared" si="36"/>
        <v>6.6814352048254477E-3</v>
      </c>
    </row>
    <row r="275" spans="1:8" x14ac:dyDescent="0.25">
      <c r="A275" s="3">
        <f t="shared" si="37"/>
        <v>263</v>
      </c>
      <c r="B275" s="3">
        <f t="shared" si="38"/>
        <v>263</v>
      </c>
      <c r="C275" s="3">
        <f t="shared" si="39"/>
        <v>292.10216570763652</v>
      </c>
      <c r="D275" s="3">
        <f t="shared" si="32"/>
        <v>0.14090680359464472</v>
      </c>
      <c r="E275" s="3">
        <f t="shared" si="33"/>
        <v>292.24307251123116</v>
      </c>
      <c r="F275" s="3">
        <f t="shared" si="34"/>
        <v>0.13841802659050187</v>
      </c>
      <c r="G275" s="3">
        <f t="shared" si="35"/>
        <v>292.10873770817665</v>
      </c>
      <c r="H275" s="3">
        <f t="shared" si="36"/>
        <v>6.5720005401317394E-3</v>
      </c>
    </row>
    <row r="276" spans="1:8" x14ac:dyDescent="0.25">
      <c r="A276" s="3">
        <f t="shared" si="37"/>
        <v>264</v>
      </c>
      <c r="B276" s="3">
        <f t="shared" si="38"/>
        <v>264</v>
      </c>
      <c r="C276" s="3">
        <f t="shared" si="39"/>
        <v>292.24182812272909</v>
      </c>
      <c r="D276" s="3">
        <f t="shared" si="32"/>
        <v>0.13844000974199711</v>
      </c>
      <c r="E276" s="3">
        <f t="shared" si="33"/>
        <v>292.38026813247109</v>
      </c>
      <c r="F276" s="3">
        <f t="shared" si="34"/>
        <v>0.13599391052814871</v>
      </c>
      <c r="G276" s="3">
        <f t="shared" si="35"/>
        <v>292.24829243424449</v>
      </c>
      <c r="H276" s="3">
        <f t="shared" si="36"/>
        <v>6.4643115154012776E-3</v>
      </c>
    </row>
    <row r="277" spans="1:8" x14ac:dyDescent="0.25">
      <c r="A277" s="3">
        <f t="shared" si="37"/>
        <v>265</v>
      </c>
      <c r="B277" s="3">
        <f t="shared" si="38"/>
        <v>265</v>
      </c>
      <c r="C277" s="3">
        <f t="shared" si="39"/>
        <v>292.37904508286414</v>
      </c>
      <c r="D277" s="3">
        <f t="shared" si="32"/>
        <v>0.13601552452011909</v>
      </c>
      <c r="E277" s="3">
        <f t="shared" si="33"/>
        <v>292.51506060738427</v>
      </c>
      <c r="F277" s="3">
        <f t="shared" si="34"/>
        <v>0.13361140292074219</v>
      </c>
      <c r="G277" s="3">
        <f t="shared" si="35"/>
        <v>292.38540342462716</v>
      </c>
      <c r="H277" s="3">
        <f t="shared" si="36"/>
        <v>6.3583417630184158E-3</v>
      </c>
    </row>
    <row r="278" spans="1:8" x14ac:dyDescent="0.25">
      <c r="A278" s="3">
        <f t="shared" si="37"/>
        <v>266</v>
      </c>
      <c r="B278" s="3">
        <f t="shared" si="38"/>
        <v>266</v>
      </c>
      <c r="C278" s="3">
        <f t="shared" si="39"/>
        <v>292.51385854658457</v>
      </c>
      <c r="D278" s="3">
        <f t="shared" si="32"/>
        <v>0.13363265353090073</v>
      </c>
      <c r="E278" s="3">
        <f t="shared" si="33"/>
        <v>292.6474912001155</v>
      </c>
      <c r="F278" s="3">
        <f t="shared" si="34"/>
        <v>0.131269819711891</v>
      </c>
      <c r="G278" s="3">
        <f t="shared" si="35"/>
        <v>292.52011261184862</v>
      </c>
      <c r="H278" s="3">
        <f t="shared" si="36"/>
        <v>6.2540652640450389E-3</v>
      </c>
    </row>
    <row r="279" spans="1:8" x14ac:dyDescent="0.25">
      <c r="A279" s="3">
        <f t="shared" si="37"/>
        <v>267</v>
      </c>
      <c r="B279" s="3">
        <f t="shared" si="38"/>
        <v>267</v>
      </c>
      <c r="C279" s="3">
        <f t="shared" si="39"/>
        <v>292.64630978320599</v>
      </c>
      <c r="D279" s="3">
        <f t="shared" si="32"/>
        <v>0.13129071264286704</v>
      </c>
      <c r="E279" s="3">
        <f t="shared" si="33"/>
        <v>292.77760049584884</v>
      </c>
      <c r="F279" s="3">
        <f t="shared" si="34"/>
        <v>0.12896848700201918</v>
      </c>
      <c r="G279" s="3">
        <f t="shared" si="35"/>
        <v>292.65246123955205</v>
      </c>
      <c r="H279" s="3">
        <f t="shared" si="36"/>
        <v>6.1514563460605132E-3</v>
      </c>
    </row>
    <row r="280" spans="1:8" x14ac:dyDescent="0.25">
      <c r="A280" s="3">
        <f t="shared" si="37"/>
        <v>268</v>
      </c>
      <c r="B280" s="3">
        <f t="shared" si="38"/>
        <v>268</v>
      </c>
      <c r="C280" s="3">
        <f t="shared" si="39"/>
        <v>292.77643938302845</v>
      </c>
      <c r="D280" s="3">
        <f t="shared" si="32"/>
        <v>0.12898902788173458</v>
      </c>
      <c r="E280" s="3">
        <f t="shared" si="33"/>
        <v>292.90542841091019</v>
      </c>
      <c r="F280" s="3">
        <f t="shared" si="34"/>
        <v>0.1267067409383259</v>
      </c>
      <c r="G280" s="3">
        <f t="shared" si="35"/>
        <v>292.78248987270837</v>
      </c>
      <c r="H280" s="3">
        <f t="shared" si="36"/>
        <v>6.0504896799216112E-3</v>
      </c>
    </row>
    <row r="281" spans="1:8" x14ac:dyDescent="0.25">
      <c r="A281" s="3">
        <f t="shared" si="37"/>
        <v>269</v>
      </c>
      <c r="B281" s="3">
        <f t="shared" si="38"/>
        <v>269</v>
      </c>
      <c r="C281" s="3">
        <f t="shared" si="39"/>
        <v>292.90428726743846</v>
      </c>
      <c r="D281" s="3">
        <f t="shared" si="32"/>
        <v>0.12672693532041315</v>
      </c>
      <c r="E281" s="3">
        <f t="shared" si="33"/>
        <v>293.03101420275885</v>
      </c>
      <c r="F281" s="3">
        <f t="shared" si="34"/>
        <v>0.12448392760428517</v>
      </c>
      <c r="G281" s="3">
        <f t="shared" si="35"/>
        <v>292.91023840771533</v>
      </c>
      <c r="H281" s="3">
        <f t="shared" si="36"/>
        <v>5.951140276863498E-3</v>
      </c>
    </row>
    <row r="282" spans="1:8" x14ac:dyDescent="0.25">
      <c r="A282" s="3">
        <f t="shared" si="37"/>
        <v>270</v>
      </c>
      <c r="B282" s="3">
        <f t="shared" si="38"/>
        <v>270</v>
      </c>
      <c r="C282" s="3">
        <f t="shared" si="39"/>
        <v>293.02989269890082</v>
      </c>
      <c r="D282" s="3">
        <f t="shared" si="32"/>
        <v>0.12450378096851773</v>
      </c>
      <c r="E282" s="3">
        <f t="shared" si="33"/>
        <v>293.15439647986932</v>
      </c>
      <c r="F282" s="3">
        <f t="shared" si="34"/>
        <v>0.1222994029087327</v>
      </c>
      <c r="G282" s="3">
        <f t="shared" si="35"/>
        <v>293.0357460823858</v>
      </c>
      <c r="H282" s="3">
        <f t="shared" si="36"/>
        <v>5.8533834849754385E-3</v>
      </c>
    </row>
    <row r="283" spans="1:8" x14ac:dyDescent="0.25">
      <c r="A283" s="3">
        <f t="shared" si="37"/>
        <v>271</v>
      </c>
      <c r="B283" s="3">
        <f t="shared" si="38"/>
        <v>271</v>
      </c>
      <c r="C283" s="3">
        <f t="shared" si="39"/>
        <v>293.15329429083943</v>
      </c>
      <c r="D283" s="3">
        <f t="shared" si="32"/>
        <v>0.12231892066148284</v>
      </c>
      <c r="E283" s="3">
        <f t="shared" si="33"/>
        <v>293.27561321150091</v>
      </c>
      <c r="F283" s="3">
        <f t="shared" si="34"/>
        <v>0.12015253247467243</v>
      </c>
      <c r="G283" s="3">
        <f t="shared" si="35"/>
        <v>293.15905148582652</v>
      </c>
      <c r="H283" s="3">
        <f t="shared" si="36"/>
        <v>5.7571949870975914E-3</v>
      </c>
    </row>
    <row r="284" spans="1:8" x14ac:dyDescent="0.25">
      <c r="A284" s="3">
        <f t="shared" si="37"/>
        <v>272</v>
      </c>
      <c r="B284" s="3">
        <f t="shared" si="38"/>
        <v>272</v>
      </c>
      <c r="C284" s="3">
        <f t="shared" si="39"/>
        <v>293.27453001740753</v>
      </c>
      <c r="D284" s="3">
        <f t="shared" si="32"/>
        <v>0.1201717199493898</v>
      </c>
      <c r="E284" s="3">
        <f t="shared" si="33"/>
        <v>293.39470173735691</v>
      </c>
      <c r="F284" s="3">
        <f t="shared" si="34"/>
        <v>0.1180426915278491</v>
      </c>
      <c r="G284" s="3">
        <f t="shared" si="35"/>
        <v>293.28019256820471</v>
      </c>
      <c r="H284" s="3">
        <f t="shared" si="36"/>
        <v>5.6625507971830302E-3</v>
      </c>
    </row>
    <row r="285" spans="1:8" x14ac:dyDescent="0.25">
      <c r="A285" s="3">
        <f t="shared" si="37"/>
        <v>273</v>
      </c>
      <c r="B285" s="3">
        <f t="shared" si="38"/>
        <v>273</v>
      </c>
      <c r="C285" s="3">
        <f t="shared" si="39"/>
        <v>293.39363722314613</v>
      </c>
      <c r="D285" s="3">
        <f t="shared" si="32"/>
        <v>0.11806155398555181</v>
      </c>
      <c r="E285" s="3">
        <f t="shared" si="33"/>
        <v>293.5116987771317</v>
      </c>
      <c r="F285" s="3">
        <f t="shared" si="34"/>
        <v>0.11596926478518189</v>
      </c>
      <c r="G285" s="3">
        <f t="shared" si="35"/>
        <v>293.39920665040302</v>
      </c>
      <c r="H285" s="3">
        <f t="shared" si="36"/>
        <v>5.5694272568871384E-3</v>
      </c>
    </row>
    <row r="286" spans="1:8" x14ac:dyDescent="0.25">
      <c r="A286" s="3">
        <f t="shared" si="37"/>
        <v>274</v>
      </c>
      <c r="B286" s="3">
        <f t="shared" si="38"/>
        <v>274</v>
      </c>
      <c r="C286" s="3">
        <f t="shared" si="39"/>
        <v>293.5106526325315</v>
      </c>
      <c r="D286" s="3">
        <f t="shared" si="32"/>
        <v>0.11598780741497962</v>
      </c>
      <c r="E286" s="3">
        <f t="shared" si="33"/>
        <v>293.62664043994647</v>
      </c>
      <c r="F286" s="3">
        <f t="shared" si="34"/>
        <v>0.11393164634314273</v>
      </c>
      <c r="G286" s="3">
        <f t="shared" si="35"/>
        <v>293.51613043356451</v>
      </c>
      <c r="H286" s="3">
        <f t="shared" si="36"/>
        <v>5.4778010330096549E-3</v>
      </c>
    </row>
    <row r="287" spans="1:8" x14ac:dyDescent="0.25">
      <c r="A287" s="3">
        <f t="shared" si="37"/>
        <v>275</v>
      </c>
      <c r="B287" s="3">
        <f t="shared" si="38"/>
        <v>275</v>
      </c>
      <c r="C287" s="3">
        <f t="shared" si="39"/>
        <v>293.62561235941058</v>
      </c>
      <c r="D287" s="3">
        <f t="shared" si="32"/>
        <v>0.11394987426275455</v>
      </c>
      <c r="E287" s="3">
        <f t="shared" si="33"/>
        <v>293.73956223367333</v>
      </c>
      <c r="F287" s="3">
        <f t="shared" si="34"/>
        <v>0.11192923956611477</v>
      </c>
      <c r="G287" s="3">
        <f t="shared" si="35"/>
        <v>293.63100000852501</v>
      </c>
      <c r="H287" s="3">
        <f t="shared" si="36"/>
        <v>5.3876491144251304E-3</v>
      </c>
    </row>
    <row r="288" spans="1:8" x14ac:dyDescent="0.25">
      <c r="A288" s="3">
        <f t="shared" si="37"/>
        <v>276</v>
      </c>
      <c r="B288" s="3">
        <f t="shared" si="38"/>
        <v>276</v>
      </c>
      <c r="C288" s="3">
        <f t="shared" si="39"/>
        <v>293.73855191632504</v>
      </c>
      <c r="D288" s="3">
        <f t="shared" si="32"/>
        <v>0.11194715782242896</v>
      </c>
      <c r="E288" s="3">
        <f t="shared" si="33"/>
        <v>293.85049907414748</v>
      </c>
      <c r="F288" s="3">
        <f t="shared" si="34"/>
        <v>0.10996145697484808</v>
      </c>
      <c r="G288" s="3">
        <f t="shared" si="35"/>
        <v>293.74385086513325</v>
      </c>
      <c r="H288" s="3">
        <f t="shared" si="36"/>
        <v>5.298948808217574E-3</v>
      </c>
    </row>
    <row r="289" spans="1:8" x14ac:dyDescent="0.25">
      <c r="A289" s="3">
        <f t="shared" si="37"/>
        <v>277</v>
      </c>
      <c r="B289" s="3">
        <f t="shared" si="38"/>
        <v>277</v>
      </c>
      <c r="C289" s="3">
        <f t="shared" si="39"/>
        <v>293.84950622372367</v>
      </c>
      <c r="D289" s="3">
        <f t="shared" si="32"/>
        <v>0.10997907054448068</v>
      </c>
      <c r="E289" s="3">
        <f t="shared" si="33"/>
        <v>293.95948529426812</v>
      </c>
      <c r="F289" s="3">
        <f t="shared" si="34"/>
        <v>0.10802772013502998</v>
      </c>
      <c r="G289" s="3">
        <f t="shared" si="35"/>
        <v>293.8547179014613</v>
      </c>
      <c r="H289" s="3">
        <f t="shared" si="36"/>
        <v>5.2116777376340906E-3</v>
      </c>
    </row>
    <row r="290" spans="1:8" x14ac:dyDescent="0.25">
      <c r="A290" s="3">
        <f t="shared" si="37"/>
        <v>278</v>
      </c>
      <c r="B290" s="3">
        <f t="shared" si="38"/>
        <v>278</v>
      </c>
      <c r="C290" s="3">
        <f t="shared" si="39"/>
        <v>293.95850961906342</v>
      </c>
      <c r="D290" s="3">
        <f t="shared" si="32"/>
        <v>0.10804503392489535</v>
      </c>
      <c r="E290" s="3">
        <f t="shared" si="33"/>
        <v>294.06655465298832</v>
      </c>
      <c r="F290" s="3">
        <f t="shared" si="34"/>
        <v>0.10612745954607065</v>
      </c>
      <c r="G290" s="3">
        <f t="shared" si="35"/>
        <v>293.96363543290073</v>
      </c>
      <c r="H290" s="3">
        <f t="shared" si="36"/>
        <v>5.1258138373100337E-3</v>
      </c>
    </row>
    <row r="291" spans="1:8" x14ac:dyDescent="0.25">
      <c r="A291" s="3">
        <f t="shared" si="37"/>
        <v>279</v>
      </c>
      <c r="B291" s="3">
        <f t="shared" si="38"/>
        <v>279</v>
      </c>
      <c r="C291" s="3">
        <f t="shared" si="39"/>
        <v>294.06559586579891</v>
      </c>
      <c r="D291" s="3">
        <f t="shared" si="32"/>
        <v>0.10614447839397081</v>
      </c>
      <c r="E291" s="3">
        <f t="shared" si="33"/>
        <v>294.17174034419287</v>
      </c>
      <c r="F291" s="3">
        <f t="shared" si="34"/>
        <v>0.10426011453011405</v>
      </c>
      <c r="G291" s="3">
        <f t="shared" si="35"/>
        <v>294.07063720115025</v>
      </c>
      <c r="H291" s="3">
        <f t="shared" si="36"/>
        <v>5.041335351336329E-3</v>
      </c>
    </row>
    <row r="292" spans="1:8" x14ac:dyDescent="0.25">
      <c r="A292" s="3">
        <f t="shared" si="37"/>
        <v>280</v>
      </c>
      <c r="B292" s="3">
        <f t="shared" si="38"/>
        <v>280</v>
      </c>
      <c r="C292" s="3">
        <f t="shared" si="39"/>
        <v>294.17079816226095</v>
      </c>
      <c r="D292" s="3">
        <f t="shared" si="32"/>
        <v>0.10427684320534215</v>
      </c>
      <c r="E292" s="3">
        <f t="shared" si="33"/>
        <v>294.27507500546631</v>
      </c>
      <c r="F292" s="3">
        <f t="shared" si="34"/>
        <v>0.1024251331213879</v>
      </c>
      <c r="G292" s="3">
        <f t="shared" si="35"/>
        <v>294.1757563830904</v>
      </c>
      <c r="H292" s="3">
        <f t="shared" si="36"/>
        <v>4.9582208294509655E-3</v>
      </c>
    </row>
    <row r="293" spans="1:8" x14ac:dyDescent="0.25">
      <c r="A293" s="3">
        <f t="shared" si="37"/>
        <v>281</v>
      </c>
      <c r="B293" s="3">
        <f t="shared" si="38"/>
        <v>281</v>
      </c>
      <c r="C293" s="3">
        <f t="shared" si="39"/>
        <v>294.27414915042431</v>
      </c>
      <c r="D293" s="3">
        <f t="shared" si="32"/>
        <v>0.10244157632533689</v>
      </c>
      <c r="E293" s="3">
        <f t="shared" si="33"/>
        <v>294.37659072674967</v>
      </c>
      <c r="F293" s="3">
        <f t="shared" si="34"/>
        <v>0.10062197195589372</v>
      </c>
      <c r="G293" s="3">
        <f t="shared" si="35"/>
        <v>294.27902559954867</v>
      </c>
      <c r="H293" s="3">
        <f t="shared" si="36"/>
        <v>4.8764491243673547E-3</v>
      </c>
    </row>
    <row r="294" spans="1:8" x14ac:dyDescent="0.25">
      <c r="A294" s="3">
        <f t="shared" si="37"/>
        <v>282</v>
      </c>
      <c r="B294" s="3">
        <f t="shared" si="38"/>
        <v>282</v>
      </c>
      <c r="C294" s="3">
        <f t="shared" si="39"/>
        <v>294.3756809245649</v>
      </c>
      <c r="D294" s="3">
        <f t="shared" si="32"/>
        <v>0.10063813432267266</v>
      </c>
      <c r="E294" s="3">
        <f t="shared" si="33"/>
        <v>294.47631905888755</v>
      </c>
      <c r="F294" s="3">
        <f t="shared" si="34"/>
        <v>9.8850096161502671E-2</v>
      </c>
      <c r="G294" s="3">
        <f t="shared" si="35"/>
        <v>294.38047692395259</v>
      </c>
      <c r="H294" s="3">
        <f t="shared" si="36"/>
        <v>4.7959993876816043E-3</v>
      </c>
    </row>
    <row r="295" spans="1:8" x14ac:dyDescent="0.25">
      <c r="A295" s="3">
        <f t="shared" si="37"/>
        <v>283</v>
      </c>
      <c r="B295" s="3">
        <f t="shared" si="38"/>
        <v>283</v>
      </c>
      <c r="C295" s="3">
        <f t="shared" si="39"/>
        <v>294.47542503980696</v>
      </c>
      <c r="D295" s="3">
        <f t="shared" si="32"/>
        <v>9.8865982258566465E-2</v>
      </c>
      <c r="E295" s="3">
        <f t="shared" si="33"/>
        <v>294.57429102206555</v>
      </c>
      <c r="F295" s="3">
        <f t="shared" si="34"/>
        <v>9.7108979248514041E-2</v>
      </c>
      <c r="G295" s="3">
        <f t="shared" si="35"/>
        <v>294.48014189087411</v>
      </c>
      <c r="H295" s="3">
        <f t="shared" si="36"/>
        <v>4.7168510671440345E-3</v>
      </c>
    </row>
    <row r="296" spans="1:8" x14ac:dyDescent="0.25">
      <c r="A296" s="3">
        <f t="shared" si="37"/>
        <v>284</v>
      </c>
      <c r="B296" s="3">
        <f t="shared" si="38"/>
        <v>284</v>
      </c>
      <c r="C296" s="3">
        <f t="shared" si="39"/>
        <v>294.57341252056051</v>
      </c>
      <c r="D296" s="3">
        <f t="shared" si="32"/>
        <v>9.7124593577303422E-2</v>
      </c>
      <c r="E296" s="3">
        <f t="shared" si="33"/>
        <v>294.6705371141378</v>
      </c>
      <c r="F296" s="3">
        <f t="shared" si="34"/>
        <v>9.539810300070492E-2</v>
      </c>
      <c r="G296" s="3">
        <f t="shared" si="35"/>
        <v>294.57805150446399</v>
      </c>
      <c r="H296" s="3">
        <f t="shared" si="36"/>
        <v>4.6389839034759461E-3</v>
      </c>
    </row>
    <row r="297" spans="1:8" x14ac:dyDescent="0.25">
      <c r="A297" s="3">
        <f t="shared" si="37"/>
        <v>285</v>
      </c>
      <c r="B297" s="3">
        <f t="shared" si="38"/>
        <v>285</v>
      </c>
      <c r="C297" s="3">
        <f t="shared" si="39"/>
        <v>294.66967386884949</v>
      </c>
      <c r="D297" s="3">
        <f t="shared" si="32"/>
        <v>9.5413449997288721E-2</v>
      </c>
      <c r="E297" s="3">
        <f t="shared" si="33"/>
        <v>294.76508731884678</v>
      </c>
      <c r="F297" s="3">
        <f t="shared" si="34"/>
        <v>9.3716957366922066E-2</v>
      </c>
      <c r="G297" s="3">
        <f t="shared" si="35"/>
        <v>294.67423624677656</v>
      </c>
      <c r="H297" s="3">
        <f t="shared" si="36"/>
        <v>4.5623779270727027E-3</v>
      </c>
    </row>
    <row r="298" spans="1:8" x14ac:dyDescent="0.25">
      <c r="A298" s="3">
        <f t="shared" si="37"/>
        <v>286</v>
      </c>
      <c r="B298" s="3">
        <f t="shared" si="38"/>
        <v>286</v>
      </c>
      <c r="C298" s="3">
        <f t="shared" si="39"/>
        <v>294.76423907253161</v>
      </c>
      <c r="D298" s="3">
        <f t="shared" si="32"/>
        <v>9.3732041402651081E-2</v>
      </c>
      <c r="E298" s="3">
        <f t="shared" si="33"/>
        <v>294.85797111393424</v>
      </c>
      <c r="F298" s="3">
        <f t="shared" si="34"/>
        <v>9.2065040353245045E-2</v>
      </c>
      <c r="G298" s="3">
        <f t="shared" si="35"/>
        <v>294.76872608598569</v>
      </c>
      <c r="H298" s="3">
        <f t="shared" si="36"/>
        <v>4.4870134540815343E-3</v>
      </c>
    </row>
    <row r="299" spans="1:8" x14ac:dyDescent="0.25">
      <c r="A299" s="3">
        <f t="shared" si="37"/>
        <v>287</v>
      </c>
      <c r="B299" s="3">
        <f t="shared" si="38"/>
        <v>287</v>
      </c>
      <c r="C299" s="3">
        <f t="shared" si="39"/>
        <v>294.85713761340958</v>
      </c>
      <c r="D299" s="3">
        <f t="shared" si="32"/>
        <v>9.2079865735403596E-2</v>
      </c>
      <c r="E299" s="3">
        <f t="shared" si="33"/>
        <v>294.94921747914498</v>
      </c>
      <c r="F299" s="3">
        <f t="shared" si="34"/>
        <v>9.0441857915759025E-2</v>
      </c>
      <c r="G299" s="3">
        <f t="shared" si="35"/>
        <v>294.86155048449365</v>
      </c>
      <c r="H299" s="3">
        <f t="shared" si="36"/>
        <v>4.4128710840709573E-3</v>
      </c>
    </row>
    <row r="300" spans="1:8" x14ac:dyDescent="0.25">
      <c r="A300" s="3">
        <f t="shared" si="37"/>
        <v>288</v>
      </c>
      <c r="B300" s="3">
        <f t="shared" si="38"/>
        <v>288</v>
      </c>
      <c r="C300" s="3">
        <f t="shared" si="39"/>
        <v>294.94839847523514</v>
      </c>
      <c r="D300" s="3">
        <f t="shared" si="32"/>
        <v>9.045642888822937E-2</v>
      </c>
      <c r="E300" s="3">
        <f t="shared" si="33"/>
        <v>295.03885490412335</v>
      </c>
      <c r="F300" s="3">
        <f t="shared" si="34"/>
        <v>8.8846923853985169E-2</v>
      </c>
      <c r="G300" s="3">
        <f t="shared" si="35"/>
        <v>294.95273840693216</v>
      </c>
      <c r="H300" s="3">
        <f t="shared" si="36"/>
        <v>4.3399316970180735E-3</v>
      </c>
    </row>
    <row r="301" spans="1:8" x14ac:dyDescent="0.25">
      <c r="A301" s="3">
        <f t="shared" si="37"/>
        <v>289</v>
      </c>
      <c r="B301" s="3">
        <f t="shared" si="38"/>
        <v>289</v>
      </c>
      <c r="C301" s="3">
        <f t="shared" si="39"/>
        <v>295.03805015160623</v>
      </c>
      <c r="D301" s="3">
        <f t="shared" si="32"/>
        <v>8.8861244597915667E-2</v>
      </c>
      <c r="E301" s="3">
        <f t="shared" si="33"/>
        <v>295.12691139620415</v>
      </c>
      <c r="F301" s="3">
        <f t="shared" si="34"/>
        <v>8.7279759704977172E-2</v>
      </c>
      <c r="G301" s="3">
        <f t="shared" si="35"/>
        <v>295.04231832805465</v>
      </c>
      <c r="H301" s="3">
        <f t="shared" si="36"/>
        <v>4.2681764484200357E-3</v>
      </c>
    </row>
    <row r="302" spans="1:8" x14ac:dyDescent="0.25">
      <c r="A302" s="3">
        <f t="shared" si="37"/>
        <v>290</v>
      </c>
      <c r="B302" s="3">
        <f t="shared" si="38"/>
        <v>290</v>
      </c>
      <c r="C302" s="3">
        <f t="shared" si="39"/>
        <v>295.12612065375765</v>
      </c>
      <c r="D302" s="3">
        <f t="shared" si="32"/>
        <v>8.729383433944933E-2</v>
      </c>
      <c r="E302" s="3">
        <f t="shared" si="33"/>
        <v>295.2134144880971</v>
      </c>
      <c r="F302" s="3">
        <f t="shared" si="34"/>
        <v>8.5739894638124772E-2</v>
      </c>
      <c r="G302" s="3">
        <f t="shared" si="35"/>
        <v>295.13031824052581</v>
      </c>
      <c r="H302" s="3">
        <f t="shared" si="36"/>
        <v>4.1975867681571799E-3</v>
      </c>
    </row>
    <row r="303" spans="1:8" x14ac:dyDescent="0.25">
      <c r="A303" s="3">
        <f t="shared" si="37"/>
        <v>291</v>
      </c>
      <c r="B303" s="3">
        <f t="shared" si="38"/>
        <v>291</v>
      </c>
      <c r="C303" s="3">
        <f t="shared" si="39"/>
        <v>295.21263751824642</v>
      </c>
      <c r="D303" s="3">
        <f t="shared" si="32"/>
        <v>8.5753727220830148E-2</v>
      </c>
      <c r="E303" s="3">
        <f t="shared" si="33"/>
        <v>295.29839124546726</v>
      </c>
      <c r="F303" s="3">
        <f t="shared" si="34"/>
        <v>8.422686535070989E-2</v>
      </c>
      <c r="G303" s="3">
        <f t="shared" si="35"/>
        <v>295.21676566260169</v>
      </c>
      <c r="H303" s="3">
        <f t="shared" si="36"/>
        <v>4.12814435526343E-3</v>
      </c>
    </row>
    <row r="304" spans="1:8" x14ac:dyDescent="0.25">
      <c r="A304" s="3">
        <f t="shared" si="37"/>
        <v>292</v>
      </c>
      <c r="B304" s="3">
        <f t="shared" si="38"/>
        <v>292</v>
      </c>
      <c r="C304" s="3">
        <f t="shared" si="39"/>
        <v>295.29762781453218</v>
      </c>
      <c r="D304" s="3">
        <f t="shared" si="32"/>
        <v>8.4240459878622526E-2</v>
      </c>
      <c r="E304" s="3">
        <f t="shared" si="33"/>
        <v>295.38186827441081</v>
      </c>
      <c r="F304" s="3">
        <f t="shared" si="34"/>
        <v>8.274021596420042E-2</v>
      </c>
      <c r="G304" s="3">
        <f t="shared" si="35"/>
        <v>295.30168764570863</v>
      </c>
      <c r="H304" s="3">
        <f t="shared" si="36"/>
        <v>4.0598311764483697E-3</v>
      </c>
    </row>
    <row r="305" spans="1:8" x14ac:dyDescent="0.25">
      <c r="A305" s="3">
        <f t="shared" si="37"/>
        <v>293</v>
      </c>
      <c r="B305" s="3">
        <f t="shared" si="38"/>
        <v>293</v>
      </c>
      <c r="C305" s="3">
        <f t="shared" si="39"/>
        <v>295.38111815245361</v>
      </c>
      <c r="D305" s="3">
        <f t="shared" si="32"/>
        <v>8.275357637426202E-2</v>
      </c>
      <c r="E305" s="3">
        <f t="shared" si="33"/>
        <v>295.46387172882788</v>
      </c>
      <c r="F305" s="3">
        <f t="shared" si="34"/>
        <v>8.1279497921352639E-2</v>
      </c>
      <c r="G305" s="3">
        <f t="shared" si="35"/>
        <v>295.38511078191596</v>
      </c>
      <c r="H305" s="3">
        <f t="shared" si="36"/>
        <v>3.992629462345576E-3</v>
      </c>
    </row>
    <row r="306" spans="1:8" x14ac:dyDescent="0.25">
      <c r="A306" s="3">
        <f t="shared" si="37"/>
        <v>294</v>
      </c>
      <c r="B306" s="3">
        <f t="shared" si="38"/>
        <v>294</v>
      </c>
      <c r="C306" s="3">
        <f t="shared" si="39"/>
        <v>295.46313468960142</v>
      </c>
      <c r="D306" s="3">
        <f t="shared" si="32"/>
        <v>8.129262809114543E-2</v>
      </c>
      <c r="E306" s="3">
        <f t="shared" si="33"/>
        <v>295.54442731769257</v>
      </c>
      <c r="F306" s="3">
        <f t="shared" si="34"/>
        <v>7.9844269884102051E-2</v>
      </c>
      <c r="G306" s="3">
        <f t="shared" si="35"/>
        <v>295.4670612113045</v>
      </c>
      <c r="H306" s="3">
        <f t="shared" si="36"/>
        <v>3.9265217030788335E-3</v>
      </c>
    </row>
    <row r="307" spans="1:8" x14ac:dyDescent="0.25">
      <c r="A307" s="3">
        <f t="shared" si="37"/>
        <v>295</v>
      </c>
      <c r="B307" s="3">
        <f t="shared" si="38"/>
        <v>295</v>
      </c>
      <c r="C307" s="3">
        <f t="shared" si="39"/>
        <v>295.54370313858902</v>
      </c>
      <c r="D307" s="3">
        <f t="shared" si="32"/>
        <v>7.9857173632537776E-2</v>
      </c>
      <c r="E307" s="3">
        <f t="shared" si="33"/>
        <v>295.62356031222157</v>
      </c>
      <c r="F307" s="3">
        <f t="shared" si="34"/>
        <v>7.8434097632299138E-2</v>
      </c>
      <c r="G307" s="3">
        <f t="shared" si="35"/>
        <v>295.54756462923609</v>
      </c>
      <c r="H307" s="3">
        <f t="shared" si="36"/>
        <v>3.8614906470684218E-3</v>
      </c>
    </row>
    <row r="308" spans="1:8" x14ac:dyDescent="0.25">
      <c r="A308" s="3">
        <f t="shared" si="37"/>
        <v>296</v>
      </c>
      <c r="B308" s="3">
        <f t="shared" si="38"/>
        <v>296</v>
      </c>
      <c r="C308" s="3">
        <f t="shared" si="39"/>
        <v>295.62284877422144</v>
      </c>
      <c r="D308" s="3">
        <f t="shared" si="32"/>
        <v>7.8446778720292085E-2</v>
      </c>
      <c r="E308" s="3">
        <f t="shared" si="33"/>
        <v>295.70129555294176</v>
      </c>
      <c r="F308" s="3">
        <f t="shared" si="34"/>
        <v>7.704855396328017E-2</v>
      </c>
      <c r="G308" s="3">
        <f t="shared" si="35"/>
        <v>295.62664629351804</v>
      </c>
      <c r="H308" s="3">
        <f t="shared" si="36"/>
        <v>3.7975192965973292E-3</v>
      </c>
    </row>
    <row r="309" spans="1:8" x14ac:dyDescent="0.25">
      <c r="A309" s="3">
        <f t="shared" si="37"/>
        <v>297</v>
      </c>
      <c r="B309" s="3">
        <f t="shared" si="38"/>
        <v>297</v>
      </c>
      <c r="C309" s="3">
        <f t="shared" si="39"/>
        <v>295.70059644056323</v>
      </c>
      <c r="D309" s="3">
        <f t="shared" si="32"/>
        <v>7.7061016094445003E-2</v>
      </c>
      <c r="E309" s="3">
        <f t="shared" si="33"/>
        <v>295.77765745665766</v>
      </c>
      <c r="F309" s="3">
        <f t="shared" si="34"/>
        <v>7.5687218592328534E-2</v>
      </c>
      <c r="G309" s="3">
        <f t="shared" si="35"/>
        <v>295.7043310314686</v>
      </c>
      <c r="H309" s="3">
        <f t="shared" si="36"/>
        <v>3.7345909053669857E-3</v>
      </c>
    </row>
    <row r="310" spans="1:8" x14ac:dyDescent="0.25">
      <c r="A310" s="3">
        <f t="shared" si="37"/>
        <v>298</v>
      </c>
      <c r="B310" s="3">
        <f t="shared" si="38"/>
        <v>298</v>
      </c>
      <c r="C310" s="3">
        <f t="shared" si="39"/>
        <v>295.77697055790662</v>
      </c>
      <c r="D310" s="3">
        <f t="shared" si="32"/>
        <v>7.5699465413641892E-2</v>
      </c>
      <c r="E310" s="3">
        <f t="shared" si="33"/>
        <v>295.85267002332029</v>
      </c>
      <c r="F310" s="3">
        <f t="shared" si="34"/>
        <v>7.4349678053975285E-2</v>
      </c>
      <c r="G310" s="3">
        <f t="shared" si="35"/>
        <v>295.78064324688171</v>
      </c>
      <c r="H310" s="3">
        <f t="shared" si="36"/>
        <v>3.6726889750866576E-3</v>
      </c>
    </row>
    <row r="311" spans="1:8" x14ac:dyDescent="0.25">
      <c r="A311" s="3">
        <f t="shared" si="37"/>
        <v>299</v>
      </c>
      <c r="B311" s="3">
        <f t="shared" si="38"/>
        <v>299</v>
      </c>
      <c r="C311" s="3">
        <f t="shared" si="39"/>
        <v>295.85199512964044</v>
      </c>
      <c r="D311" s="3">
        <f t="shared" si="32"/>
        <v>7.4361713156473094E-2</v>
      </c>
      <c r="E311" s="3">
        <f t="shared" si="33"/>
        <v>295.92635684279691</v>
      </c>
      <c r="F311" s="3">
        <f t="shared" si="34"/>
        <v>7.3035525604249918E-2</v>
      </c>
      <c r="G311" s="3">
        <f t="shared" si="35"/>
        <v>295.85560692689171</v>
      </c>
      <c r="H311" s="3">
        <f t="shared" si="36"/>
        <v>3.6117972512670349E-3</v>
      </c>
    </row>
    <row r="312" spans="1:8" x14ac:dyDescent="0.25">
      <c r="A312" s="3">
        <f t="shared" si="37"/>
        <v>300</v>
      </c>
      <c r="B312" s="3">
        <f t="shared" si="38"/>
        <v>300</v>
      </c>
      <c r="C312" s="3">
        <f t="shared" si="39"/>
        <v>295.92569374902081</v>
      </c>
      <c r="D312" s="3">
        <f t="shared" si="32"/>
        <v>7.3047352523708461E-2</v>
      </c>
      <c r="E312" s="3">
        <f t="shared" si="33"/>
        <v>295.99874110154451</v>
      </c>
      <c r="F312" s="3">
        <f t="shared" si="34"/>
        <v>7.1744361123801517E-2</v>
      </c>
      <c r="G312" s="3">
        <f t="shared" si="35"/>
        <v>295.92924564874346</v>
      </c>
      <c r="H312" s="3">
        <f t="shared" si="36"/>
        <v>3.5518997226517968E-3</v>
      </c>
    </row>
    <row r="313" spans="1:8" x14ac:dyDescent="0.25">
      <c r="A313" s="3">
        <f t="shared" si="37"/>
        <v>301</v>
      </c>
      <c r="B313" s="3">
        <f t="shared" si="38"/>
        <v>301</v>
      </c>
      <c r="C313" s="3">
        <f t="shared" si="39"/>
        <v>295.99808960584454</v>
      </c>
      <c r="D313" s="3">
        <f t="shared" si="32"/>
        <v>7.1755983341406537E-2</v>
      </c>
      <c r="E313" s="3">
        <f t="shared" si="33"/>
        <v>296.06984558918595</v>
      </c>
      <c r="F313" s="3">
        <f t="shared" si="34"/>
        <v>7.0475791021968506E-2</v>
      </c>
      <c r="G313" s="3">
        <f t="shared" si="35"/>
        <v>296.00158258646007</v>
      </c>
      <c r="H313" s="3">
        <f t="shared" si="36"/>
        <v>3.4929806155332699E-3</v>
      </c>
    </row>
    <row r="314" spans="1:8" x14ac:dyDescent="0.25">
      <c r="A314" s="3">
        <f t="shared" si="37"/>
        <v>302</v>
      </c>
      <c r="B314" s="3">
        <f t="shared" si="38"/>
        <v>302</v>
      </c>
      <c r="C314" s="3">
        <f t="shared" si="39"/>
        <v>296.06920549302623</v>
      </c>
      <c r="D314" s="3">
        <f t="shared" si="32"/>
        <v>7.0487211965002197E-2</v>
      </c>
      <c r="E314" s="3">
        <f t="shared" si="33"/>
        <v>296.13969270499126</v>
      </c>
      <c r="F314" s="3">
        <f t="shared" si="34"/>
        <v>6.9229428141763111E-2</v>
      </c>
      <c r="G314" s="3">
        <f t="shared" si="35"/>
        <v>296.0726405174189</v>
      </c>
      <c r="H314" s="3">
        <f t="shared" si="36"/>
        <v>3.4350243926724033E-3</v>
      </c>
    </row>
    <row r="315" spans="1:8" x14ac:dyDescent="0.25">
      <c r="A315" s="3">
        <f t="shared" si="37"/>
        <v>303</v>
      </c>
      <c r="B315" s="3">
        <f t="shared" si="38"/>
        <v>303</v>
      </c>
      <c r="C315" s="3">
        <f t="shared" si="39"/>
        <v>296.13906381307959</v>
      </c>
      <c r="D315" s="3">
        <f t="shared" si="32"/>
        <v>6.9240651184282978E-2</v>
      </c>
      <c r="E315" s="3">
        <f t="shared" si="33"/>
        <v>296.20830446426385</v>
      </c>
      <c r="F315" s="3">
        <f t="shared" si="34"/>
        <v>6.8004891665832651E-2</v>
      </c>
      <c r="G315" s="3">
        <f t="shared" si="35"/>
        <v>296.14244182882834</v>
      </c>
      <c r="H315" s="3">
        <f t="shared" si="36"/>
        <v>3.3780157487512952E-3</v>
      </c>
    </row>
    <row r="316" spans="1:8" x14ac:dyDescent="0.25">
      <c r="A316" s="3">
        <f t="shared" si="37"/>
        <v>304</v>
      </c>
      <c r="B316" s="3">
        <f t="shared" si="38"/>
        <v>304</v>
      </c>
      <c r="C316" s="3">
        <f t="shared" si="39"/>
        <v>296.20768658450464</v>
      </c>
      <c r="D316" s="3">
        <f t="shared" si="32"/>
        <v>6.801592012932943E-2</v>
      </c>
      <c r="E316" s="3">
        <f t="shared" si="33"/>
        <v>296.27570250463395</v>
      </c>
      <c r="F316" s="3">
        <f t="shared" si="34"/>
        <v>6.6801807023331911E-2</v>
      </c>
      <c r="G316" s="3">
        <f t="shared" si="35"/>
        <v>296.2110085241132</v>
      </c>
      <c r="H316" s="3">
        <f t="shared" si="36"/>
        <v>3.321939608554203E-3</v>
      </c>
    </row>
    <row r="317" spans="1:8" x14ac:dyDescent="0.25">
      <c r="A317" s="3">
        <f t="shared" si="37"/>
        <v>305</v>
      </c>
      <c r="B317" s="3">
        <f t="shared" si="38"/>
        <v>305</v>
      </c>
      <c r="C317" s="3">
        <f t="shared" si="39"/>
        <v>296.27509544808095</v>
      </c>
      <c r="D317" s="3">
        <f t="shared" si="32"/>
        <v>6.6812644177421346E-2</v>
      </c>
      <c r="E317" s="3">
        <f t="shared" si="33"/>
        <v>296.34190809225839</v>
      </c>
      <c r="F317" s="3">
        <f t="shared" si="34"/>
        <v>6.5619805797799677E-2</v>
      </c>
      <c r="G317" s="3">
        <f t="shared" si="35"/>
        <v>296.27836222920411</v>
      </c>
      <c r="H317" s="3">
        <f t="shared" si="36"/>
        <v>3.2667811231590349E-3</v>
      </c>
    </row>
    <row r="318" spans="1:8" x14ac:dyDescent="0.25">
      <c r="A318" s="3">
        <f t="shared" si="37"/>
        <v>306</v>
      </c>
      <c r="B318" s="3">
        <f t="shared" si="38"/>
        <v>306</v>
      </c>
      <c r="C318" s="3">
        <f t="shared" si="39"/>
        <v>296.34131167306856</v>
      </c>
      <c r="D318" s="3">
        <f t="shared" si="32"/>
        <v>6.5630454860878457E-2</v>
      </c>
      <c r="E318" s="3">
        <f t="shared" si="33"/>
        <v>296.40694212792943</v>
      </c>
      <c r="F318" s="3">
        <f t="shared" si="34"/>
        <v>6.445852563598084E-2</v>
      </c>
      <c r="G318" s="3">
        <f t="shared" si="35"/>
        <v>296.34452419873628</v>
      </c>
      <c r="H318" s="3">
        <f t="shared" si="36"/>
        <v>3.2125256677204561E-3</v>
      </c>
    </row>
    <row r="319" spans="1:8" x14ac:dyDescent="0.25">
      <c r="A319" s="3">
        <f t="shared" si="37"/>
        <v>307</v>
      </c>
      <c r="B319" s="3">
        <f t="shared" si="38"/>
        <v>307</v>
      </c>
      <c r="C319" s="3">
        <f t="shared" si="39"/>
        <v>296.40635616331701</v>
      </c>
      <c r="D319" s="3">
        <f t="shared" si="32"/>
        <v>6.4468989775896032E-2</v>
      </c>
      <c r="E319" s="3">
        <f t="shared" si="33"/>
        <v>296.4708251530929</v>
      </c>
      <c r="F319" s="3">
        <f t="shared" si="34"/>
        <v>6.3317610157625673E-2</v>
      </c>
      <c r="G319" s="3">
        <f t="shared" si="35"/>
        <v>296.40951532215456</v>
      </c>
      <c r="H319" s="3">
        <f t="shared" si="36"/>
        <v>3.1591588375476931E-3</v>
      </c>
    </row>
    <row r="320" spans="1:8" x14ac:dyDescent="0.25">
      <c r="A320" s="3">
        <f t="shared" si="37"/>
        <v>308</v>
      </c>
      <c r="B320" s="3">
        <f t="shared" si="38"/>
        <v>308</v>
      </c>
      <c r="C320" s="3">
        <f t="shared" si="39"/>
        <v>296.47024946328378</v>
      </c>
      <c r="D320" s="3">
        <f t="shared" si="32"/>
        <v>6.3327892492338778E-2</v>
      </c>
      <c r="E320" s="3">
        <f t="shared" si="33"/>
        <v>296.53357735577612</v>
      </c>
      <c r="F320" s="3">
        <f t="shared" si="34"/>
        <v>6.2196708866283042E-2</v>
      </c>
      <c r="G320" s="3">
        <f t="shared" si="35"/>
        <v>296.47335612973012</v>
      </c>
      <c r="H320" s="3">
        <f t="shared" si="36"/>
        <v>3.1066664463423876E-3</v>
      </c>
    </row>
    <row r="321" spans="1:8" x14ac:dyDescent="0.25">
      <c r="A321" s="3">
        <f t="shared" si="37"/>
        <v>309</v>
      </c>
      <c r="B321" s="3">
        <f t="shared" si="38"/>
        <v>309</v>
      </c>
      <c r="C321" s="3">
        <f t="shared" si="39"/>
        <v>296.53301176396309</v>
      </c>
      <c r="D321" s="3">
        <f t="shared" si="32"/>
        <v>6.2206812464520735E-2</v>
      </c>
      <c r="E321" s="3">
        <f t="shared" si="33"/>
        <v>296.59521857642761</v>
      </c>
      <c r="F321" s="3">
        <f t="shared" si="34"/>
        <v>6.1095477061056856E-2</v>
      </c>
      <c r="G321" s="3">
        <f t="shared" si="35"/>
        <v>296.53606679848502</v>
      </c>
      <c r="H321" s="3">
        <f t="shared" si="36"/>
        <v>3.0550345219353403E-3</v>
      </c>
    </row>
    <row r="322" spans="1:8" x14ac:dyDescent="0.25">
      <c r="A322" s="3">
        <f t="shared" si="37"/>
        <v>310</v>
      </c>
      <c r="B322" s="3">
        <f t="shared" si="38"/>
        <v>310</v>
      </c>
      <c r="C322" s="3">
        <f t="shared" si="39"/>
        <v>296.59466290872587</v>
      </c>
      <c r="D322" s="3">
        <f t="shared" si="32"/>
        <v>6.110540494297214E-2</v>
      </c>
      <c r="E322" s="3">
        <f t="shared" si="33"/>
        <v>296.65576831366883</v>
      </c>
      <c r="F322" s="3">
        <f t="shared" si="34"/>
        <v>6.0013575749374416E-2</v>
      </c>
      <c r="G322" s="3">
        <f t="shared" si="35"/>
        <v>296.59766715803113</v>
      </c>
      <c r="H322" s="3">
        <f t="shared" si="36"/>
        <v>3.004249305263329E-3</v>
      </c>
    </row>
    <row r="323" spans="1:8" x14ac:dyDescent="0.25">
      <c r="A323" s="3">
        <f t="shared" si="37"/>
        <v>311</v>
      </c>
      <c r="B323" s="3">
        <f t="shared" si="38"/>
        <v>311</v>
      </c>
      <c r="C323" s="3">
        <f t="shared" si="39"/>
        <v>296.65522239907204</v>
      </c>
      <c r="D323" s="3">
        <f t="shared" si="32"/>
        <v>6.0023330887198655E-2</v>
      </c>
      <c r="E323" s="3">
        <f t="shared" si="33"/>
        <v>296.71524572995924</v>
      </c>
      <c r="F323" s="3">
        <f t="shared" si="34"/>
        <v>5.8950671560726461E-2</v>
      </c>
      <c r="G323" s="3">
        <f t="shared" si="35"/>
        <v>296.6581766963173</v>
      </c>
      <c r="H323" s="3">
        <f t="shared" si="36"/>
        <v>2.9542972452532013E-3</v>
      </c>
    </row>
    <row r="324" spans="1:8" x14ac:dyDescent="0.25">
      <c r="A324" s="3">
        <f t="shared" si="37"/>
        <v>312</v>
      </c>
      <c r="B324" s="3">
        <f t="shared" si="38"/>
        <v>312</v>
      </c>
      <c r="C324" s="3">
        <f t="shared" si="39"/>
        <v>296.71470940029599</v>
      </c>
      <c r="D324" s="3">
        <f t="shared" si="32"/>
        <v>5.8960256879414204E-2</v>
      </c>
      <c r="E324" s="3">
        <f t="shared" si="33"/>
        <v>296.77366965717539</v>
      </c>
      <c r="F324" s="3">
        <f t="shared" si="34"/>
        <v>5.790643666141472E-2</v>
      </c>
      <c r="G324" s="3">
        <f t="shared" si="35"/>
        <v>296.71761456529418</v>
      </c>
      <c r="H324" s="3">
        <f t="shared" si="36"/>
        <v>2.9051649981965966E-3</v>
      </c>
    </row>
    <row r="325" spans="1:8" x14ac:dyDescent="0.25">
      <c r="A325" s="3">
        <f t="shared" si="37"/>
        <v>313</v>
      </c>
      <c r="B325" s="3">
        <f t="shared" si="38"/>
        <v>313</v>
      </c>
      <c r="C325" s="3">
        <f t="shared" si="39"/>
        <v>296.7731427470664</v>
      </c>
      <c r="D325" s="3">
        <f t="shared" si="32"/>
        <v>5.7915855039288137E-2</v>
      </c>
      <c r="E325" s="3">
        <f t="shared" si="33"/>
        <v>296.83105860210571</v>
      </c>
      <c r="F325" s="3">
        <f t="shared" si="34"/>
        <v>5.6880548670282763E-2</v>
      </c>
      <c r="G325" s="3">
        <f t="shared" si="35"/>
        <v>296.77599958648989</v>
      </c>
      <c r="H325" s="3">
        <f t="shared" si="36"/>
        <v>2.8568394234866901E-3</v>
      </c>
    </row>
    <row r="326" spans="1:8" x14ac:dyDescent="0.25">
      <c r="A326" s="3">
        <f t="shared" si="37"/>
        <v>314</v>
      </c>
      <c r="B326" s="3">
        <f t="shared" si="38"/>
        <v>314</v>
      </c>
      <c r="C326" s="3">
        <f t="shared" si="39"/>
        <v>296.83054094892117</v>
      </c>
      <c r="D326" s="3">
        <f t="shared" si="32"/>
        <v>5.6889802939661865E-2</v>
      </c>
      <c r="E326" s="3">
        <f t="shared" si="33"/>
        <v>296.88743075186085</v>
      </c>
      <c r="F326" s="3">
        <f t="shared" si="34"/>
        <v>5.5872690575449586E-2</v>
      </c>
      <c r="G326" s="3">
        <f t="shared" si="35"/>
        <v>296.83335025650234</v>
      </c>
      <c r="H326" s="3">
        <f t="shared" si="36"/>
        <v>2.8093075811739254E-3</v>
      </c>
    </row>
    <row r="327" spans="1:8" x14ac:dyDescent="0.25">
      <c r="A327" s="3">
        <f t="shared" si="37"/>
        <v>315</v>
      </c>
      <c r="B327" s="3">
        <f t="shared" si="38"/>
        <v>315</v>
      </c>
      <c r="C327" s="3">
        <f t="shared" si="39"/>
        <v>296.88692219567872</v>
      </c>
      <c r="D327" s="3">
        <f t="shared" si="32"/>
        <v>5.5881783523292865E-2</v>
      </c>
      <c r="E327" s="3">
        <f t="shared" si="33"/>
        <v>296.94280397920204</v>
      </c>
      <c r="F327" s="3">
        <f t="shared" si="34"/>
        <v>5.4882550652024041E-2</v>
      </c>
      <c r="G327" s="3">
        <f t="shared" si="35"/>
        <v>296.88968475240853</v>
      </c>
      <c r="H327" s="3">
        <f t="shared" si="36"/>
        <v>2.762556729805965E-3</v>
      </c>
    </row>
    <row r="328" spans="1:8" x14ac:dyDescent="0.25">
      <c r="A328" s="3">
        <f t="shared" si="37"/>
        <v>316</v>
      </c>
      <c r="B328" s="3">
        <f t="shared" si="38"/>
        <v>316</v>
      </c>
      <c r="C328" s="3">
        <f t="shared" si="39"/>
        <v>296.94230436276638</v>
      </c>
      <c r="D328" s="3">
        <f t="shared" si="32"/>
        <v>5.4891485020558593E-2</v>
      </c>
      <c r="E328" s="3">
        <f t="shared" si="33"/>
        <v>296.99719584778694</v>
      </c>
      <c r="F328" s="3">
        <f t="shared" si="34"/>
        <v>5.390982238084166E-2</v>
      </c>
      <c r="G328" s="3">
        <f t="shared" si="35"/>
        <v>296.94502093708951</v>
      </c>
      <c r="H328" s="3">
        <f t="shared" si="36"/>
        <v>2.7165743231307715E-3</v>
      </c>
    </row>
    <row r="329" spans="1:8" x14ac:dyDescent="0.25">
      <c r="A329" s="3">
        <f t="shared" si="37"/>
        <v>317</v>
      </c>
      <c r="B329" s="3">
        <f t="shared" si="38"/>
        <v>317</v>
      </c>
      <c r="C329" s="3">
        <f t="shared" si="39"/>
        <v>296.9967050164671</v>
      </c>
      <c r="D329" s="3">
        <f t="shared" si="32"/>
        <v>5.3918600868175279E-2</v>
      </c>
      <c r="E329" s="3">
        <f t="shared" si="33"/>
        <v>297.0506236173353</v>
      </c>
      <c r="F329" s="3">
        <f t="shared" si="34"/>
        <v>5.2954204368153381E-2</v>
      </c>
      <c r="G329" s="3">
        <f t="shared" si="35"/>
        <v>296.99937636447436</v>
      </c>
      <c r="H329" s="3">
        <f t="shared" si="36"/>
        <v>2.6713480072544371E-3</v>
      </c>
    </row>
    <row r="330" spans="1:8" x14ac:dyDescent="0.25">
      <c r="A330" s="3">
        <f t="shared" si="37"/>
        <v>318</v>
      </c>
      <c r="B330" s="3">
        <f t="shared" si="38"/>
        <v>318</v>
      </c>
      <c r="C330" s="3">
        <f t="shared" si="39"/>
        <v>297.05014141908526</v>
      </c>
      <c r="D330" s="3">
        <f t="shared" si="32"/>
        <v>5.2962829628913542E-2</v>
      </c>
      <c r="E330" s="3">
        <f t="shared" si="33"/>
        <v>297.1031042487142</v>
      </c>
      <c r="F330" s="3">
        <f t="shared" si="34"/>
        <v>5.201540026635311E-2</v>
      </c>
      <c r="G330" s="3">
        <f t="shared" si="35"/>
        <v>297.05276828470403</v>
      </c>
      <c r="H330" s="3">
        <f t="shared" si="36"/>
        <v>2.6268656187653505E-3</v>
      </c>
    </row>
    <row r="331" spans="1:8" x14ac:dyDescent="0.25">
      <c r="A331" s="3">
        <f t="shared" si="37"/>
        <v>319</v>
      </c>
      <c r="B331" s="3">
        <f t="shared" si="38"/>
        <v>319</v>
      </c>
      <c r="C331" s="3">
        <f t="shared" si="39"/>
        <v>297.10263053403293</v>
      </c>
      <c r="D331" s="3">
        <f t="shared" si="32"/>
        <v>5.2023874912273803E-2</v>
      </c>
      <c r="E331" s="3">
        <f t="shared" si="33"/>
        <v>297.15465440894519</v>
      </c>
      <c r="F331" s="3">
        <f t="shared" si="34"/>
        <v>5.1093118695641433E-2</v>
      </c>
      <c r="G331" s="3">
        <f t="shared" si="35"/>
        <v>297.10521364921368</v>
      </c>
      <c r="H331" s="3">
        <f t="shared" si="36"/>
        <v>2.5831151807551578E-3</v>
      </c>
    </row>
    <row r="332" spans="1:8" x14ac:dyDescent="0.25">
      <c r="A332" s="3">
        <f t="shared" si="37"/>
        <v>320</v>
      </c>
      <c r="B332" s="3">
        <f t="shared" si="38"/>
        <v>320</v>
      </c>
      <c r="C332" s="3">
        <f t="shared" si="39"/>
        <v>297.1541890308369</v>
      </c>
      <c r="D332" s="3">
        <f t="shared" ref="D332:D395" si="40">$B$3*C332^(3/4)*(1-(C332/$B$4)^(1/4))</f>
        <v>5.1101445296190741E-2</v>
      </c>
      <c r="E332" s="3">
        <f t="shared" ref="E332:E395" si="41">C332+$B$6*D332</f>
        <v>297.20529047613309</v>
      </c>
      <c r="F332" s="3">
        <f t="shared" ref="F332:F395" si="42">$B$3*E332^(3/4)*(1-(E332/$B$4)^(1/4))</f>
        <v>5.0187073166720712E-2</v>
      </c>
      <c r="G332" s="3">
        <f t="shared" ref="G332:G395" si="43">( $B$8 + ($B$9-$B$8)*EXP(-$B$3*B332/(4*$B$8)) )^4</f>
        <v>297.15672911573921</v>
      </c>
      <c r="H332" s="3">
        <f t="shared" ref="H332:H395" si="44">ABS(C332-G332)</f>
        <v>2.5400849023071714E-3</v>
      </c>
    </row>
    <row r="333" spans="1:8" x14ac:dyDescent="0.25">
      <c r="A333" s="3">
        <f t="shared" ref="A333:A396" si="45">A332+1</f>
        <v>321</v>
      </c>
      <c r="B333" s="3">
        <f t="shared" ref="B333:B396" si="46">B332+$B$6</f>
        <v>321</v>
      </c>
      <c r="C333" s="3">
        <f t="shared" ref="C333:C396" si="47">C332+($B$6/2)*(D332+F332)</f>
        <v>297.20483329006834</v>
      </c>
      <c r="D333" s="3">
        <f t="shared" si="40"/>
        <v>5.019525424969732E-2</v>
      </c>
      <c r="E333" s="3">
        <f t="shared" si="41"/>
        <v>297.25502854431801</v>
      </c>
      <c r="F333" s="3">
        <f t="shared" si="42"/>
        <v>4.9296982004447723E-2</v>
      </c>
      <c r="G333" s="3">
        <f t="shared" si="43"/>
        <v>297.20733105324172</v>
      </c>
      <c r="H333" s="3">
        <f t="shared" si="44"/>
        <v>2.4977631733804628E-3</v>
      </c>
    </row>
    <row r="334" spans="1:8" x14ac:dyDescent="0.25">
      <c r="A334" s="3">
        <f t="shared" si="45"/>
        <v>322</v>
      </c>
      <c r="B334" s="3">
        <f t="shared" si="46"/>
        <v>322</v>
      </c>
      <c r="C334" s="3">
        <f t="shared" si="47"/>
        <v>297.25457940819541</v>
      </c>
      <c r="D334" s="3">
        <f t="shared" si="40"/>
        <v>4.9305020056579427E-2</v>
      </c>
      <c r="E334" s="3">
        <f t="shared" si="41"/>
        <v>297.30388442825199</v>
      </c>
      <c r="F334" s="3">
        <f t="shared" si="42"/>
        <v>4.8422568272469747E-2</v>
      </c>
      <c r="G334" s="3">
        <f t="shared" si="43"/>
        <v>297.25703554675988</v>
      </c>
      <c r="H334" s="3">
        <f t="shared" si="44"/>
        <v>2.4561385644688016E-3</v>
      </c>
    </row>
    <row r="335" spans="1:8" x14ac:dyDescent="0.25">
      <c r="A335" s="3">
        <f t="shared" si="45"/>
        <v>323</v>
      </c>
      <c r="B335" s="3">
        <f t="shared" si="46"/>
        <v>323</v>
      </c>
      <c r="C335" s="3">
        <f t="shared" si="47"/>
        <v>297.30344320235992</v>
      </c>
      <c r="D335" s="3">
        <f t="shared" si="40"/>
        <v>4.8430465739999567E-2</v>
      </c>
      <c r="E335" s="3">
        <f t="shared" si="41"/>
        <v>297.35187366809993</v>
      </c>
      <c r="F335" s="3">
        <f t="shared" si="42"/>
        <v>4.7563559698840331E-2</v>
      </c>
      <c r="G335" s="3">
        <f t="shared" si="43"/>
        <v>297.30585840218259</v>
      </c>
      <c r="H335" s="3">
        <f t="shared" si="44"/>
        <v>2.4151998226784599E-3</v>
      </c>
    </row>
    <row r="336" spans="1:8" x14ac:dyDescent="0.25">
      <c r="A336" s="3">
        <f t="shared" si="45"/>
        <v>324</v>
      </c>
      <c r="B336" s="3">
        <f t="shared" si="46"/>
        <v>324</v>
      </c>
      <c r="C336" s="3">
        <f t="shared" si="47"/>
        <v>297.35144021507932</v>
      </c>
      <c r="D336" s="3">
        <f t="shared" si="40"/>
        <v>4.757131898811881E-2</v>
      </c>
      <c r="E336" s="3">
        <f t="shared" si="41"/>
        <v>297.39901153406743</v>
      </c>
      <c r="F336" s="3">
        <f t="shared" si="42"/>
        <v>4.6719688602597891E-2</v>
      </c>
      <c r="G336" s="3">
        <f t="shared" si="43"/>
        <v>297.35381515094929</v>
      </c>
      <c r="H336" s="3">
        <f t="shared" si="44"/>
        <v>2.3749358699660661E-3</v>
      </c>
    </row>
    <row r="337" spans="1:8" x14ac:dyDescent="0.25">
      <c r="A337" s="3">
        <f t="shared" si="45"/>
        <v>325</v>
      </c>
      <c r="B337" s="3">
        <f t="shared" si="46"/>
        <v>325</v>
      </c>
      <c r="C337" s="3">
        <f t="shared" si="47"/>
        <v>297.3985857188747</v>
      </c>
      <c r="D337" s="3">
        <f t="shared" si="40"/>
        <v>4.6727312080655323E-2</v>
      </c>
      <c r="E337" s="3">
        <f t="shared" si="41"/>
        <v>297.44531303095533</v>
      </c>
      <c r="F337" s="3">
        <f t="shared" si="42"/>
        <v>4.5890691821313313E-2</v>
      </c>
      <c r="G337" s="3">
        <f t="shared" si="43"/>
        <v>297.40092105467448</v>
      </c>
      <c r="H337" s="3">
        <f t="shared" si="44"/>
        <v>2.3353357997848434E-3</v>
      </c>
    </row>
    <row r="338" spans="1:8" x14ac:dyDescent="0.25">
      <c r="A338" s="3">
        <f t="shared" si="45"/>
        <v>326</v>
      </c>
      <c r="B338" s="3">
        <f t="shared" si="46"/>
        <v>326</v>
      </c>
      <c r="C338" s="3">
        <f t="shared" si="47"/>
        <v>297.44489472082569</v>
      </c>
      <c r="D338" s="3">
        <f t="shared" si="40"/>
        <v>4.5898181816445283E-2</v>
      </c>
      <c r="E338" s="3">
        <f t="shared" si="41"/>
        <v>297.49079290264211</v>
      </c>
      <c r="F338" s="3">
        <f t="shared" si="42"/>
        <v>4.5076310639600103E-2</v>
      </c>
      <c r="G338" s="3">
        <f t="shared" si="43"/>
        <v>297.44719110970141</v>
      </c>
      <c r="H338" s="3">
        <f t="shared" si="44"/>
        <v>2.2963888757203677E-3</v>
      </c>
    </row>
    <row r="339" spans="1:8" x14ac:dyDescent="0.25">
      <c r="A339" s="3">
        <f t="shared" si="45"/>
        <v>327</v>
      </c>
      <c r="B339" s="3">
        <f t="shared" si="46"/>
        <v>327</v>
      </c>
      <c r="C339" s="3">
        <f t="shared" si="47"/>
        <v>297.49038196705374</v>
      </c>
      <c r="D339" s="3">
        <f t="shared" si="40"/>
        <v>4.5083669441929791E-2</v>
      </c>
      <c r="E339" s="3">
        <f t="shared" si="41"/>
        <v>297.53546563649564</v>
      </c>
      <c r="F339" s="3">
        <f t="shared" si="42"/>
        <v>4.4276290718582065E-2</v>
      </c>
      <c r="G339" s="3">
        <f t="shared" si="43"/>
        <v>297.49264005158238</v>
      </c>
      <c r="H339" s="3">
        <f t="shared" si="44"/>
        <v>2.2580845286483964E-3</v>
      </c>
    </row>
    <row r="340" spans="1:8" x14ac:dyDescent="0.25">
      <c r="A340" s="3">
        <f t="shared" si="45"/>
        <v>328</v>
      </c>
      <c r="B340" s="3">
        <f t="shared" si="46"/>
        <v>328</v>
      </c>
      <c r="C340" s="3">
        <f t="shared" si="47"/>
        <v>297.53506194713401</v>
      </c>
      <c r="D340" s="3">
        <f t="shared" si="40"/>
        <v>4.4283520580616603E-2</v>
      </c>
      <c r="E340" s="3">
        <f t="shared" si="41"/>
        <v>297.57934546771463</v>
      </c>
      <c r="F340" s="3">
        <f t="shared" si="42"/>
        <v>4.3490382026286238E-2</v>
      </c>
      <c r="G340" s="3">
        <f t="shared" si="43"/>
        <v>297.53728235948779</v>
      </c>
      <c r="H340" s="3">
        <f t="shared" si="44"/>
        <v>2.220412353779011E-3</v>
      </c>
    </row>
    <row r="341" spans="1:8" x14ac:dyDescent="0.25">
      <c r="A341" s="3">
        <f t="shared" si="45"/>
        <v>329</v>
      </c>
      <c r="B341" s="3">
        <f t="shared" si="46"/>
        <v>329</v>
      </c>
      <c r="C341" s="3">
        <f t="shared" si="47"/>
        <v>297.57894889843749</v>
      </c>
      <c r="D341" s="3">
        <f t="shared" si="40"/>
        <v>4.3497485163489828E-2</v>
      </c>
      <c r="E341" s="3">
        <f t="shared" si="41"/>
        <v>297.62244638360096</v>
      </c>
      <c r="F341" s="3">
        <f t="shared" si="42"/>
        <v>4.2718338769021293E-2</v>
      </c>
      <c r="G341" s="3">
        <f t="shared" si="43"/>
        <v>297.58113226054712</v>
      </c>
      <c r="H341" s="3">
        <f t="shared" si="44"/>
        <v>2.1833621096334355E-3</v>
      </c>
    </row>
    <row r="342" spans="1:8" x14ac:dyDescent="0.25">
      <c r="A342" s="3">
        <f t="shared" si="45"/>
        <v>330</v>
      </c>
      <c r="B342" s="3">
        <f t="shared" si="46"/>
        <v>330</v>
      </c>
      <c r="C342" s="3">
        <f t="shared" si="47"/>
        <v>297.62205681040376</v>
      </c>
      <c r="D342" s="3">
        <f t="shared" si="40"/>
        <v>4.2725317360346203E-2</v>
      </c>
      <c r="E342" s="3">
        <f t="shared" si="41"/>
        <v>297.66478212776411</v>
      </c>
      <c r="F342" s="3">
        <f t="shared" si="42"/>
        <v>4.1959919323643326E-2</v>
      </c>
      <c r="G342" s="3">
        <f t="shared" si="43"/>
        <v>297.62420373411732</v>
      </c>
      <c r="H342" s="3">
        <f t="shared" si="44"/>
        <v>2.1469237135534058E-3</v>
      </c>
    </row>
    <row r="343" spans="1:8" x14ac:dyDescent="0.25">
      <c r="A343" s="3">
        <f t="shared" si="45"/>
        <v>331</v>
      </c>
      <c r="B343" s="3">
        <f t="shared" si="46"/>
        <v>331</v>
      </c>
      <c r="C343" s="3">
        <f t="shared" si="47"/>
        <v>297.66439942874575</v>
      </c>
      <c r="D343" s="3">
        <f t="shared" si="40"/>
        <v>4.1966775512089459E-2</v>
      </c>
      <c r="E343" s="3">
        <f t="shared" si="41"/>
        <v>297.70636620425785</v>
      </c>
      <c r="F343" s="3">
        <f t="shared" si="42"/>
        <v>4.1214886170796342E-2</v>
      </c>
      <c r="G343" s="3">
        <f t="shared" si="43"/>
        <v>297.66651051598762</v>
      </c>
      <c r="H343" s="3">
        <f t="shared" si="44"/>
        <v>2.1110872418717008E-3</v>
      </c>
    </row>
    <row r="344" spans="1:8" x14ac:dyDescent="0.25">
      <c r="A344" s="3">
        <f t="shared" si="45"/>
        <v>332</v>
      </c>
      <c r="B344" s="3">
        <f t="shared" si="46"/>
        <v>332</v>
      </c>
      <c r="C344" s="3">
        <f t="shared" si="47"/>
        <v>297.70599025958717</v>
      </c>
      <c r="D344" s="3">
        <f t="shared" si="40"/>
        <v>4.1221622063944759E-2</v>
      </c>
      <c r="E344" s="3">
        <f t="shared" si="41"/>
        <v>297.74721188165114</v>
      </c>
      <c r="F344" s="3">
        <f t="shared" si="42"/>
        <v>4.048300582903467E-2</v>
      </c>
      <c r="G344" s="3">
        <f t="shared" si="43"/>
        <v>297.70806610251265</v>
      </c>
      <c r="H344" s="3">
        <f t="shared" si="44"/>
        <v>2.075842925478355E-3</v>
      </c>
    </row>
    <row r="345" spans="1:8" x14ac:dyDescent="0.25">
      <c r="A345" s="3">
        <f t="shared" si="45"/>
        <v>333</v>
      </c>
      <c r="B345" s="3">
        <f t="shared" si="46"/>
        <v>333</v>
      </c>
      <c r="C345" s="3">
        <f t="shared" si="47"/>
        <v>297.74684257353368</v>
      </c>
      <c r="D345" s="3">
        <f t="shared" si="40"/>
        <v>4.0489623499580879E-2</v>
      </c>
      <c r="E345" s="3">
        <f t="shared" si="41"/>
        <v>297.78733219703327</v>
      </c>
      <c r="F345" s="3">
        <f t="shared" si="42"/>
        <v>3.9764048789899642E-2</v>
      </c>
      <c r="G345" s="3">
        <f t="shared" si="43"/>
        <v>297.74888375468333</v>
      </c>
      <c r="H345" s="3">
        <f t="shared" si="44"/>
        <v>2.0411811496501286E-3</v>
      </c>
    </row>
    <row r="346" spans="1:8" x14ac:dyDescent="0.25">
      <c r="A346" s="3">
        <f t="shared" si="45"/>
        <v>334</v>
      </c>
      <c r="B346" s="3">
        <f t="shared" si="46"/>
        <v>334</v>
      </c>
      <c r="C346" s="3">
        <f t="shared" si="47"/>
        <v>297.78696940967842</v>
      </c>
      <c r="D346" s="3">
        <f t="shared" si="40"/>
        <v>3.9770550276177062E-2</v>
      </c>
      <c r="E346" s="3">
        <f t="shared" si="41"/>
        <v>297.82673995995458</v>
      </c>
      <c r="F346" s="3">
        <f t="shared" si="42"/>
        <v>3.9057789453874892E-2</v>
      </c>
      <c r="G346" s="3">
        <f t="shared" si="43"/>
        <v>297.78897650212781</v>
      </c>
      <c r="H346" s="3">
        <f t="shared" si="44"/>
        <v>2.0070924493893472E-3</v>
      </c>
    </row>
    <row r="347" spans="1:8" x14ac:dyDescent="0.25">
      <c r="A347" s="3">
        <f t="shared" si="45"/>
        <v>335</v>
      </c>
      <c r="B347" s="3">
        <f t="shared" si="46"/>
        <v>335</v>
      </c>
      <c r="C347" s="3">
        <f t="shared" si="47"/>
        <v>297.82638357954346</v>
      </c>
      <c r="D347" s="3">
        <f t="shared" si="40"/>
        <v>3.906417676038048E-2</v>
      </c>
      <c r="E347" s="3">
        <f t="shared" si="41"/>
        <v>297.86544775630387</v>
      </c>
      <c r="F347" s="3">
        <f t="shared" si="42"/>
        <v>3.8364006067250669E-2</v>
      </c>
      <c r="G347" s="3">
        <f t="shared" si="43"/>
        <v>297.82835714705277</v>
      </c>
      <c r="H347" s="3">
        <f t="shared" si="44"/>
        <v>1.9735675093102145E-3</v>
      </c>
    </row>
    <row r="348" spans="1:8" x14ac:dyDescent="0.25">
      <c r="A348" s="3">
        <f t="shared" si="45"/>
        <v>336</v>
      </c>
      <c r="B348" s="3">
        <f t="shared" si="46"/>
        <v>336</v>
      </c>
      <c r="C348" s="3">
        <f t="shared" si="47"/>
        <v>297.86509767095725</v>
      </c>
      <c r="D348" s="3">
        <f t="shared" si="40"/>
        <v>3.8370281165157734E-2</v>
      </c>
      <c r="E348" s="3">
        <f t="shared" si="41"/>
        <v>297.90346795212241</v>
      </c>
      <c r="F348" s="3">
        <f t="shared" si="42"/>
        <v>3.7682480659899847E-2</v>
      </c>
      <c r="G348" s="3">
        <f t="shared" si="43"/>
        <v>297.8670382681176</v>
      </c>
      <c r="H348" s="3">
        <f t="shared" si="44"/>
        <v>1.9405971603418948E-3</v>
      </c>
    </row>
    <row r="349" spans="1:8" x14ac:dyDescent="0.25">
      <c r="A349" s="3">
        <f t="shared" si="45"/>
        <v>337</v>
      </c>
      <c r="B349" s="3">
        <f t="shared" si="46"/>
        <v>337</v>
      </c>
      <c r="C349" s="3">
        <f t="shared" si="47"/>
        <v>297.90312405186978</v>
      </c>
      <c r="D349" s="3">
        <f t="shared" si="40"/>
        <v>3.7688645487565536E-2</v>
      </c>
      <c r="E349" s="3">
        <f t="shared" si="41"/>
        <v>297.94081269735733</v>
      </c>
      <c r="F349" s="3">
        <f t="shared" si="42"/>
        <v>3.7012998983902985E-2</v>
      </c>
      <c r="G349" s="3">
        <f t="shared" si="43"/>
        <v>297.90503222424815</v>
      </c>
      <c r="H349" s="3">
        <f t="shared" si="44"/>
        <v>1.9081723783642701E-3</v>
      </c>
    </row>
    <row r="350" spans="1:8" x14ac:dyDescent="0.25">
      <c r="A350" s="3">
        <f t="shared" si="45"/>
        <v>338</v>
      </c>
      <c r="B350" s="3">
        <f t="shared" si="46"/>
        <v>338</v>
      </c>
      <c r="C350" s="3">
        <f t="shared" si="47"/>
        <v>297.94047487410552</v>
      </c>
      <c r="D350" s="3">
        <f t="shared" si="40"/>
        <v>3.7019055447372433E-2</v>
      </c>
      <c r="E350" s="3">
        <f t="shared" si="41"/>
        <v>297.97749392955291</v>
      </c>
      <c r="F350" s="3">
        <f t="shared" si="42"/>
        <v>3.63553504530938E-2</v>
      </c>
      <c r="G350" s="3">
        <f t="shared" si="43"/>
        <v>297.94235115838609</v>
      </c>
      <c r="H350" s="3">
        <f t="shared" si="44"/>
        <v>1.876284280569962E-3</v>
      </c>
    </row>
    <row r="351" spans="1:8" x14ac:dyDescent="0.25">
      <c r="A351" s="3">
        <f t="shared" si="45"/>
        <v>339</v>
      </c>
      <c r="B351" s="3">
        <f t="shared" si="46"/>
        <v>339</v>
      </c>
      <c r="C351" s="3">
        <f t="shared" si="47"/>
        <v>297.97716207705577</v>
      </c>
      <c r="D351" s="3">
        <f t="shared" si="40"/>
        <v>3.6361300426596216E-2</v>
      </c>
      <c r="E351" s="3">
        <f t="shared" si="41"/>
        <v>298.01352337748239</v>
      </c>
      <c r="F351" s="3">
        <f t="shared" si="42"/>
        <v>3.5709328083435264E-2</v>
      </c>
      <c r="G351" s="3">
        <f t="shared" si="43"/>
        <v>297.97900700118169</v>
      </c>
      <c r="H351" s="3">
        <f t="shared" si="44"/>
        <v>1.8449241259190785E-3</v>
      </c>
    </row>
    <row r="352" spans="1:8" x14ac:dyDescent="0.25">
      <c r="A352" s="3">
        <f t="shared" si="45"/>
        <v>340</v>
      </c>
      <c r="B352" s="3">
        <f t="shared" si="46"/>
        <v>340</v>
      </c>
      <c r="C352" s="3">
        <f t="shared" si="47"/>
        <v>298.01319739131077</v>
      </c>
      <c r="D352" s="3">
        <f t="shared" si="40"/>
        <v>3.5715173409873992E-2</v>
      </c>
      <c r="E352" s="3">
        <f t="shared" si="41"/>
        <v>298.04891256472064</v>
      </c>
      <c r="F352" s="3">
        <f t="shared" si="42"/>
        <v>3.5074728434288695E-2</v>
      </c>
      <c r="G352" s="3">
        <f t="shared" si="43"/>
        <v>298.01501147462045</v>
      </c>
      <c r="H352" s="3">
        <f t="shared" si="44"/>
        <v>1.8140833096822462E-3</v>
      </c>
    </row>
    <row r="353" spans="1:8" x14ac:dyDescent="0.25">
      <c r="A353" s="3">
        <f t="shared" si="45"/>
        <v>341</v>
      </c>
      <c r="B353" s="3">
        <f t="shared" si="46"/>
        <v>341</v>
      </c>
      <c r="C353" s="3">
        <f t="shared" si="47"/>
        <v>298.04859234223284</v>
      </c>
      <c r="D353" s="3">
        <f t="shared" si="40"/>
        <v>3.508047092572053E-2</v>
      </c>
      <c r="E353" s="3">
        <f t="shared" si="41"/>
        <v>298.08367281315856</v>
      </c>
      <c r="F353" s="3">
        <f t="shared" si="42"/>
        <v>3.4451351550507048E-2</v>
      </c>
      <c r="G353" s="3">
        <f t="shared" si="43"/>
        <v>298.05037609559781</v>
      </c>
      <c r="H353" s="3">
        <f t="shared" si="44"/>
        <v>1.7837533649753823E-3</v>
      </c>
    </row>
    <row r="354" spans="1:8" x14ac:dyDescent="0.25">
      <c r="A354" s="3">
        <f t="shared" si="45"/>
        <v>342</v>
      </c>
      <c r="B354" s="3">
        <f t="shared" si="46"/>
        <v>342</v>
      </c>
      <c r="C354" s="3">
        <f t="shared" si="47"/>
        <v>298.08335825347098</v>
      </c>
      <c r="D354" s="3">
        <f t="shared" si="40"/>
        <v>3.4456992988629677E-2</v>
      </c>
      <c r="E354" s="3">
        <f t="shared" si="41"/>
        <v>298.1178152464596</v>
      </c>
      <c r="F354" s="3">
        <f t="shared" si="42"/>
        <v>3.3839000905399041E-2</v>
      </c>
      <c r="G354" s="3">
        <f t="shared" si="43"/>
        <v>298.08511217942907</v>
      </c>
      <c r="H354" s="3">
        <f t="shared" si="44"/>
        <v>1.7539259580985345E-3</v>
      </c>
    </row>
    <row r="355" spans="1:8" x14ac:dyDescent="0.25">
      <c r="A355" s="3">
        <f t="shared" si="45"/>
        <v>343</v>
      </c>
      <c r="B355" s="3">
        <f t="shared" si="46"/>
        <v>343</v>
      </c>
      <c r="C355" s="3">
        <f t="shared" si="47"/>
        <v>298.11750625041799</v>
      </c>
      <c r="D355" s="3">
        <f t="shared" si="40"/>
        <v>3.3844543042017977E-2</v>
      </c>
      <c r="E355" s="3">
        <f t="shared" si="41"/>
        <v>298.15135079345998</v>
      </c>
      <c r="F355" s="3">
        <f t="shared" si="42"/>
        <v>3.3237483344516386E-2</v>
      </c>
      <c r="G355" s="3">
        <f t="shared" si="43"/>
        <v>298.11923084330522</v>
      </c>
      <c r="H355" s="3">
        <f t="shared" si="44"/>
        <v>1.7245928872284821E-3</v>
      </c>
    </row>
    <row r="356" spans="1:8" x14ac:dyDescent="0.25">
      <c r="A356" s="3">
        <f t="shared" si="45"/>
        <v>344</v>
      </c>
      <c r="B356" s="3">
        <f t="shared" si="46"/>
        <v>344</v>
      </c>
      <c r="C356" s="3">
        <f t="shared" si="47"/>
        <v>298.15104726361125</v>
      </c>
      <c r="D356" s="3">
        <f t="shared" si="40"/>
        <v>3.3242927902010208E-2</v>
      </c>
      <c r="E356" s="3">
        <f t="shared" si="41"/>
        <v>298.18429019151324</v>
      </c>
      <c r="F356" s="3">
        <f t="shared" si="42"/>
        <v>3.264660903026137E-2</v>
      </c>
      <c r="G356" s="3">
        <f t="shared" si="43"/>
        <v>298.15274300969287</v>
      </c>
      <c r="H356" s="3">
        <f t="shared" si="44"/>
        <v>1.6957460816229286E-3</v>
      </c>
    </row>
    <row r="357" spans="1:8" x14ac:dyDescent="0.25">
      <c r="A357" s="3">
        <f t="shared" si="45"/>
        <v>345</v>
      </c>
      <c r="B357" s="3">
        <f t="shared" si="46"/>
        <v>345</v>
      </c>
      <c r="C357" s="3">
        <f t="shared" si="47"/>
        <v>298.18399203207736</v>
      </c>
      <c r="D357" s="3">
        <f t="shared" si="40"/>
        <v>3.2651957702047658E-2</v>
      </c>
      <c r="E357" s="3">
        <f t="shared" si="41"/>
        <v>298.21664398977941</v>
      </c>
      <c r="F357" s="3">
        <f t="shared" si="42"/>
        <v>3.2066191387340584E-2</v>
      </c>
      <c r="G357" s="3">
        <f t="shared" si="43"/>
        <v>298.18565940967522</v>
      </c>
      <c r="H357" s="3">
        <f t="shared" si="44"/>
        <v>1.6673775978688354E-3</v>
      </c>
    </row>
    <row r="358" spans="1:8" x14ac:dyDescent="0.25">
      <c r="A358" s="3">
        <f t="shared" si="45"/>
        <v>346</v>
      </c>
      <c r="B358" s="3">
        <f t="shared" si="46"/>
        <v>346</v>
      </c>
      <c r="C358" s="3">
        <f t="shared" si="47"/>
        <v>298.21635110662203</v>
      </c>
      <c r="D358" s="3">
        <f t="shared" si="40"/>
        <v>3.2071445838320924E-2</v>
      </c>
      <c r="E358" s="3">
        <f t="shared" si="41"/>
        <v>298.24842255246034</v>
      </c>
      <c r="F358" s="3">
        <f t="shared" si="42"/>
        <v>3.1496047048989659E-2</v>
      </c>
      <c r="G358" s="3">
        <f t="shared" si="43"/>
        <v>298.21799058624117</v>
      </c>
      <c r="H358" s="3">
        <f t="shared" si="44"/>
        <v>1.639479619143458E-3</v>
      </c>
    </row>
    <row r="359" spans="1:8" x14ac:dyDescent="0.25">
      <c r="A359" s="3">
        <f t="shared" si="45"/>
        <v>347</v>
      </c>
      <c r="B359" s="3">
        <f t="shared" si="46"/>
        <v>347</v>
      </c>
      <c r="C359" s="3">
        <f t="shared" si="47"/>
        <v>298.24813485306566</v>
      </c>
      <c r="D359" s="3">
        <f t="shared" si="40"/>
        <v>3.1501208916006919E-2</v>
      </c>
      <c r="E359" s="3">
        <f t="shared" si="41"/>
        <v>298.27963606198165</v>
      </c>
      <c r="F359" s="3">
        <f t="shared" si="42"/>
        <v>3.0935995804038347E-2</v>
      </c>
      <c r="G359" s="3">
        <f t="shared" si="43"/>
        <v>298.24974689751866</v>
      </c>
      <c r="H359" s="3">
        <f t="shared" si="44"/>
        <v>1.612044452997452E-3</v>
      </c>
    </row>
    <row r="360" spans="1:8" x14ac:dyDescent="0.25">
      <c r="A360" s="3">
        <f t="shared" si="45"/>
        <v>348</v>
      </c>
      <c r="B360" s="3">
        <f t="shared" si="46"/>
        <v>348</v>
      </c>
      <c r="C360" s="3">
        <f t="shared" si="47"/>
        <v>298.27935345542568</v>
      </c>
      <c r="D360" s="3">
        <f t="shared" si="40"/>
        <v>3.0941066696315599E-2</v>
      </c>
      <c r="E360" s="3">
        <f t="shared" si="41"/>
        <v>298.31029452212198</v>
      </c>
      <c r="F360" s="3">
        <f t="shared" si="42"/>
        <v>3.0385860544739324E-2</v>
      </c>
      <c r="G360" s="3">
        <f t="shared" si="43"/>
        <v>298.28093851995476</v>
      </c>
      <c r="H360" s="3">
        <f t="shared" si="44"/>
        <v>1.5850645290811372E-3</v>
      </c>
    </row>
    <row r="361" spans="1:8" x14ac:dyDescent="0.25">
      <c r="A361" s="3">
        <f t="shared" si="45"/>
        <v>349</v>
      </c>
      <c r="B361" s="3">
        <f t="shared" si="46"/>
        <v>349</v>
      </c>
      <c r="C361" s="3">
        <f t="shared" si="47"/>
        <v>298.31001691904623</v>
      </c>
      <c r="D361" s="3">
        <f t="shared" si="40"/>
        <v>3.039084204431363E-2</v>
      </c>
      <c r="E361" s="3">
        <f t="shared" si="41"/>
        <v>298.34040776109055</v>
      </c>
      <c r="F361" s="3">
        <f t="shared" si="42"/>
        <v>2.984546721540126E-2</v>
      </c>
      <c r="G361" s="3">
        <f t="shared" si="43"/>
        <v>298.31157545144464</v>
      </c>
      <c r="H361" s="3">
        <f t="shared" si="44"/>
        <v>1.5585323984055321E-3</v>
      </c>
    </row>
    <row r="362" spans="1:8" x14ac:dyDescent="0.25">
      <c r="A362" s="3">
        <f t="shared" si="45"/>
        <v>350</v>
      </c>
      <c r="B362" s="3">
        <f t="shared" si="46"/>
        <v>350</v>
      </c>
      <c r="C362" s="3">
        <f t="shared" si="47"/>
        <v>298.34013507367609</v>
      </c>
      <c r="D362" s="3">
        <f t="shared" si="40"/>
        <v>2.9850360877565488E-2</v>
      </c>
      <c r="E362" s="3">
        <f t="shared" si="41"/>
        <v>298.36998543455366</v>
      </c>
      <c r="F362" s="3">
        <f t="shared" si="42"/>
        <v>2.9314644761787786E-2</v>
      </c>
      <c r="G362" s="3">
        <f t="shared" si="43"/>
        <v>298.34166751440654</v>
      </c>
      <c r="H362" s="3">
        <f t="shared" si="44"/>
        <v>1.5324407304433407E-3</v>
      </c>
    </row>
    <row r="363" spans="1:8" x14ac:dyDescent="0.25">
      <c r="A363" s="3">
        <f t="shared" si="45"/>
        <v>351</v>
      </c>
      <c r="B363" s="3">
        <f t="shared" si="46"/>
        <v>351</v>
      </c>
      <c r="C363" s="3">
        <f t="shared" si="47"/>
        <v>298.36971757649576</v>
      </c>
      <c r="D363" s="3">
        <f t="shared" si="40"/>
        <v>2.9319452115500889E-2</v>
      </c>
      <c r="E363" s="3">
        <f t="shared" si="41"/>
        <v>298.39903702861125</v>
      </c>
      <c r="F363" s="3">
        <f t="shared" si="42"/>
        <v>2.8793225081279454E-2</v>
      </c>
      <c r="G363" s="3">
        <f t="shared" si="43"/>
        <v>298.37122435880713</v>
      </c>
      <c r="H363" s="3">
        <f t="shared" si="44"/>
        <v>1.5067823113668055E-3</v>
      </c>
    </row>
    <row r="364" spans="1:8" x14ac:dyDescent="0.25">
      <c r="A364" s="3">
        <f t="shared" si="45"/>
        <v>352</v>
      </c>
      <c r="B364" s="3">
        <f t="shared" si="46"/>
        <v>352</v>
      </c>
      <c r="C364" s="3">
        <f t="shared" si="47"/>
        <v>298.39877391509413</v>
      </c>
      <c r="D364" s="3">
        <f t="shared" si="40"/>
        <v>2.8797947629593864E-2</v>
      </c>
      <c r="E364" s="3">
        <f t="shared" si="41"/>
        <v>298.42757186272371</v>
      </c>
      <c r="F364" s="3">
        <f t="shared" si="42"/>
        <v>2.8281042973797101E-2</v>
      </c>
      <c r="G364" s="3">
        <f t="shared" si="43"/>
        <v>298.40025546513726</v>
      </c>
      <c r="H364" s="3">
        <f t="shared" si="44"/>
        <v>1.4815500431382134E-3</v>
      </c>
    </row>
    <row r="365" spans="1:8" x14ac:dyDescent="0.25">
      <c r="A365" s="3">
        <f t="shared" si="45"/>
        <v>353</v>
      </c>
      <c r="B365" s="3">
        <f t="shared" si="46"/>
        <v>353</v>
      </c>
      <c r="C365" s="3">
        <f t="shared" si="47"/>
        <v>298.42731341039581</v>
      </c>
      <c r="D365" s="3">
        <f t="shared" si="40"/>
        <v>2.8285682194271331E-2</v>
      </c>
      <c r="E365" s="3">
        <f t="shared" si="41"/>
        <v>298.45559909259009</v>
      </c>
      <c r="F365" s="3">
        <f t="shared" si="42"/>
        <v>2.7777936093480983E-2</v>
      </c>
      <c r="G365" s="3">
        <f t="shared" si="43"/>
        <v>298.42877014733648</v>
      </c>
      <c r="H365" s="3">
        <f t="shared" si="44"/>
        <v>1.4567369406677244E-3</v>
      </c>
    </row>
    <row r="366" spans="1:8" x14ac:dyDescent="0.25">
      <c r="A366" s="3">
        <f t="shared" si="45"/>
        <v>354</v>
      </c>
      <c r="B366" s="3">
        <f t="shared" si="46"/>
        <v>354</v>
      </c>
      <c r="C366" s="3">
        <f t="shared" si="47"/>
        <v>298.45534521953971</v>
      </c>
      <c r="D366" s="3">
        <f t="shared" si="40"/>
        <v>2.7782493438590093E-2</v>
      </c>
      <c r="E366" s="3">
        <f t="shared" si="41"/>
        <v>298.48312771297827</v>
      </c>
      <c r="F366" s="3">
        <f t="shared" si="42"/>
        <v>2.7283744901097102E-2</v>
      </c>
      <c r="G366" s="3">
        <f t="shared" si="43"/>
        <v>298.45677755567124</v>
      </c>
      <c r="H366" s="3">
        <f t="shared" si="44"/>
        <v>1.432336131529155E-3</v>
      </c>
    </row>
    <row r="367" spans="1:8" x14ac:dyDescent="0.25">
      <c r="A367" s="3">
        <f t="shared" si="45"/>
        <v>355</v>
      </c>
      <c r="B367" s="3">
        <f t="shared" si="46"/>
        <v>355</v>
      </c>
      <c r="C367" s="3">
        <f t="shared" si="47"/>
        <v>298.48287833870955</v>
      </c>
      <c r="D367" s="3">
        <f t="shared" si="40"/>
        <v>2.7288221798630722E-2</v>
      </c>
      <c r="E367" s="3">
        <f t="shared" si="41"/>
        <v>298.5101665605082</v>
      </c>
      <c r="F367" s="3">
        <f t="shared" si="42"/>
        <v>2.6798312617184059E-2</v>
      </c>
      <c r="G367" s="3">
        <f t="shared" si="43"/>
        <v>298.48428667956154</v>
      </c>
      <c r="H367" s="3">
        <f t="shared" si="44"/>
        <v>1.4083408519809382E-3</v>
      </c>
    </row>
    <row r="368" spans="1:8" x14ac:dyDescent="0.25">
      <c r="A368" s="3">
        <f t="shared" si="45"/>
        <v>356</v>
      </c>
      <c r="B368" s="3">
        <f t="shared" si="46"/>
        <v>356</v>
      </c>
      <c r="C368" s="3">
        <f t="shared" si="47"/>
        <v>298.50992160591744</v>
      </c>
      <c r="D368" s="3">
        <f t="shared" si="40"/>
        <v>2.6802710470644066E-2</v>
      </c>
      <c r="E368" s="3">
        <f t="shared" si="41"/>
        <v>298.53672431638807</v>
      </c>
      <c r="F368" s="3">
        <f t="shared" si="42"/>
        <v>2.6321485175919677E-2</v>
      </c>
      <c r="G368" s="3">
        <f t="shared" si="43"/>
        <v>298.51130635036543</v>
      </c>
      <c r="H368" s="3">
        <f t="shared" si="44"/>
        <v>1.3847444479893056E-3</v>
      </c>
    </row>
    <row r="369" spans="1:8" x14ac:dyDescent="0.25">
      <c r="A369" s="3">
        <f t="shared" si="45"/>
        <v>357</v>
      </c>
      <c r="B369" s="3">
        <f t="shared" si="46"/>
        <v>357</v>
      </c>
      <c r="C369" s="3">
        <f t="shared" si="47"/>
        <v>298.53648370374071</v>
      </c>
      <c r="D369" s="3">
        <f t="shared" si="40"/>
        <v>2.6325805364910422E-2</v>
      </c>
      <c r="E369" s="3">
        <f t="shared" si="41"/>
        <v>298.56280950910565</v>
      </c>
      <c r="F369" s="3">
        <f t="shared" si="42"/>
        <v>2.5853111179685171E-2</v>
      </c>
      <c r="G369" s="3">
        <f t="shared" si="43"/>
        <v>298.53784524411253</v>
      </c>
      <c r="H369" s="3">
        <f t="shared" si="44"/>
        <v>1.3615403718176822E-3</v>
      </c>
    </row>
    <row r="370" spans="1:8" x14ac:dyDescent="0.25">
      <c r="A370" s="3">
        <f t="shared" si="45"/>
        <v>358</v>
      </c>
      <c r="B370" s="3">
        <f t="shared" si="46"/>
        <v>358</v>
      </c>
      <c r="C370" s="3">
        <f t="shared" si="47"/>
        <v>298.562573162013</v>
      </c>
      <c r="D370" s="3">
        <f t="shared" si="40"/>
        <v>2.5857355060305592E-2</v>
      </c>
      <c r="E370" s="3">
        <f t="shared" si="41"/>
        <v>298.58843051707328</v>
      </c>
      <c r="F370" s="3">
        <f t="shared" si="42"/>
        <v>2.5393041854369941E-2</v>
      </c>
      <c r="G370" s="3">
        <f t="shared" si="43"/>
        <v>298.56391188419332</v>
      </c>
      <c r="H370" s="3">
        <f t="shared" si="44"/>
        <v>1.3387221803213833E-3</v>
      </c>
    </row>
    <row r="371" spans="1:8" x14ac:dyDescent="0.25">
      <c r="A371" s="3">
        <f t="shared" si="45"/>
        <v>359</v>
      </c>
      <c r="B371" s="3">
        <f t="shared" si="46"/>
        <v>359</v>
      </c>
      <c r="C371" s="3">
        <f t="shared" si="47"/>
        <v>298.58819836047036</v>
      </c>
      <c r="D371" s="3">
        <f t="shared" si="40"/>
        <v>2.5397210759583729E-2</v>
      </c>
      <c r="E371" s="3">
        <f t="shared" si="41"/>
        <v>298.61359557122995</v>
      </c>
      <c r="F371" s="3">
        <f t="shared" si="42"/>
        <v>2.4941131005326973E-2</v>
      </c>
      <c r="G371" s="3">
        <f t="shared" si="43"/>
        <v>298.58951464400496</v>
      </c>
      <c r="H371" s="3">
        <f t="shared" si="44"/>
        <v>1.3162835346065549E-3</v>
      </c>
    </row>
    <row r="372" spans="1:8" x14ac:dyDescent="0.25">
      <c r="A372" s="3">
        <f t="shared" si="45"/>
        <v>360</v>
      </c>
      <c r="B372" s="3">
        <f t="shared" si="46"/>
        <v>360</v>
      </c>
      <c r="C372" s="3">
        <f t="shared" si="47"/>
        <v>298.61336753135282</v>
      </c>
      <c r="D372" s="3">
        <f t="shared" si="40"/>
        <v>2.4945226245348749E-2</v>
      </c>
      <c r="E372" s="3">
        <f t="shared" si="41"/>
        <v>298.63831275759816</v>
      </c>
      <c r="F372" s="3">
        <f t="shared" si="42"/>
        <v>2.4497234974055163E-2</v>
      </c>
      <c r="G372" s="3">
        <f t="shared" si="43"/>
        <v>298.6146617495499</v>
      </c>
      <c r="H372" s="3">
        <f t="shared" si="44"/>
        <v>1.294218197074315E-3</v>
      </c>
    </row>
    <row r="373" spans="1:8" x14ac:dyDescent="0.25">
      <c r="A373" s="3">
        <f t="shared" si="45"/>
        <v>361</v>
      </c>
      <c r="B373" s="3">
        <f t="shared" si="46"/>
        <v>361</v>
      </c>
      <c r="C373" s="3">
        <f t="shared" si="47"/>
        <v>298.63808876196254</v>
      </c>
      <c r="D373" s="3">
        <f t="shared" si="40"/>
        <v>2.4501257836707389E-2</v>
      </c>
      <c r="E373" s="3">
        <f t="shared" si="41"/>
        <v>298.66259001979927</v>
      </c>
      <c r="F373" s="3">
        <f t="shared" si="42"/>
        <v>2.4061212595529641E-2</v>
      </c>
      <c r="G373" s="3">
        <f t="shared" si="43"/>
        <v>298.63936128199327</v>
      </c>
      <c r="H373" s="3">
        <f t="shared" si="44"/>
        <v>1.2725200307386331E-3</v>
      </c>
    </row>
    <row r="374" spans="1:8" x14ac:dyDescent="0.25">
      <c r="A374" s="3">
        <f t="shared" si="45"/>
        <v>362</v>
      </c>
      <c r="B374" s="3">
        <f t="shared" si="46"/>
        <v>362</v>
      </c>
      <c r="C374" s="3">
        <f t="shared" si="47"/>
        <v>298.66236999717864</v>
      </c>
      <c r="D374" s="3">
        <f t="shared" si="40"/>
        <v>2.4065164346620298E-2</v>
      </c>
      <c r="E374" s="3">
        <f t="shared" si="41"/>
        <v>298.68643516152525</v>
      </c>
      <c r="F374" s="3">
        <f t="shared" si="42"/>
        <v>2.3632925156222753E-2</v>
      </c>
      <c r="G374" s="3">
        <f t="shared" si="43"/>
        <v>298.66362118017599</v>
      </c>
      <c r="H374" s="3">
        <f t="shared" si="44"/>
        <v>1.2511829973504973E-3</v>
      </c>
    </row>
    <row r="375" spans="1:8" x14ac:dyDescent="0.25">
      <c r="A375" s="3">
        <f t="shared" si="45"/>
        <v>363</v>
      </c>
      <c r="B375" s="3">
        <f t="shared" si="46"/>
        <v>363</v>
      </c>
      <c r="C375" s="3">
        <f t="shared" si="47"/>
        <v>298.68621904193009</v>
      </c>
      <c r="D375" s="3">
        <f t="shared" si="40"/>
        <v>2.3636807039891246E-2</v>
      </c>
      <c r="E375" s="3">
        <f t="shared" si="41"/>
        <v>298.70985584896999</v>
      </c>
      <c r="F375" s="3">
        <f t="shared" si="42"/>
        <v>2.3212236352760249E-2</v>
      </c>
      <c r="G375" s="3">
        <f t="shared" si="43"/>
        <v>298.68744924308567</v>
      </c>
      <c r="H375" s="3">
        <f t="shared" si="44"/>
        <v>1.230201155578925E-3</v>
      </c>
    </row>
    <row r="376" spans="1:8" x14ac:dyDescent="0.25">
      <c r="A376" s="3">
        <f t="shared" si="45"/>
        <v>364</v>
      </c>
      <c r="B376" s="3">
        <f t="shared" si="46"/>
        <v>364</v>
      </c>
      <c r="C376" s="3">
        <f t="shared" si="47"/>
        <v>298.7096435636264</v>
      </c>
      <c r="D376" s="3">
        <f t="shared" si="40"/>
        <v>2.3216049591839077E-2</v>
      </c>
      <c r="E376" s="3">
        <f t="shared" si="41"/>
        <v>298.73285961321824</v>
      </c>
      <c r="F376" s="3">
        <f t="shared" si="42"/>
        <v>2.279901225126623E-2</v>
      </c>
      <c r="G376" s="3">
        <f t="shared" si="43"/>
        <v>298.71085313228696</v>
      </c>
      <c r="H376" s="3">
        <f t="shared" si="44"/>
        <v>1.209568660556215E-3</v>
      </c>
    </row>
    <row r="377" spans="1:8" x14ac:dyDescent="0.25">
      <c r="A377" s="3">
        <f t="shared" si="45"/>
        <v>365</v>
      </c>
      <c r="B377" s="3">
        <f t="shared" si="46"/>
        <v>365</v>
      </c>
      <c r="C377" s="3">
        <f t="shared" si="47"/>
        <v>298.73265109454798</v>
      </c>
      <c r="D377" s="3">
        <f t="shared" si="40"/>
        <v>2.2802758047627568E-2</v>
      </c>
      <c r="E377" s="3">
        <f t="shared" si="41"/>
        <v>298.75545385259562</v>
      </c>
      <c r="F377" s="3">
        <f t="shared" si="42"/>
        <v>2.2393121247308179E-2</v>
      </c>
      <c r="G377" s="3">
        <f t="shared" si="43"/>
        <v>298.73384037430947</v>
      </c>
      <c r="H377" s="3">
        <f t="shared" si="44"/>
        <v>1.1892797614905248E-3</v>
      </c>
    </row>
    <row r="378" spans="1:8" x14ac:dyDescent="0.25">
      <c r="A378" s="3">
        <f t="shared" si="45"/>
        <v>366</v>
      </c>
      <c r="B378" s="3">
        <f t="shared" si="46"/>
        <v>366</v>
      </c>
      <c r="C378" s="3">
        <f t="shared" si="47"/>
        <v>298.75524903419546</v>
      </c>
      <c r="D378" s="3">
        <f t="shared" si="40"/>
        <v>2.2396800782204705E-2</v>
      </c>
      <c r="E378" s="3">
        <f t="shared" si="41"/>
        <v>298.77764583497765</v>
      </c>
      <c r="F378" s="3">
        <f t="shared" si="42"/>
        <v>2.1994434026511758E-2</v>
      </c>
      <c r="G378" s="3">
        <f t="shared" si="43"/>
        <v>298.75641836299474</v>
      </c>
      <c r="H378" s="3">
        <f t="shared" si="44"/>
        <v>1.1693287992784462E-3</v>
      </c>
    </row>
    <row r="379" spans="1:8" x14ac:dyDescent="0.25">
      <c r="A379" s="3">
        <f t="shared" si="45"/>
        <v>367</v>
      </c>
      <c r="B379" s="3">
        <f t="shared" si="46"/>
        <v>367</v>
      </c>
      <c r="C379" s="3">
        <f t="shared" si="47"/>
        <v>298.77744465159981</v>
      </c>
      <c r="D379" s="3">
        <f t="shared" si="40"/>
        <v>2.1998048460926001E-2</v>
      </c>
      <c r="E379" s="3">
        <f t="shared" si="41"/>
        <v>298.79944270006075</v>
      </c>
      <c r="F379" s="3">
        <f t="shared" si="42"/>
        <v>2.1602823525786897E-2</v>
      </c>
      <c r="G379" s="3">
        <f t="shared" si="43"/>
        <v>298.77859436180785</v>
      </c>
      <c r="H379" s="3">
        <f t="shared" si="44"/>
        <v>1.1497102080397781E-3</v>
      </c>
    </row>
    <row r="380" spans="1:8" x14ac:dyDescent="0.25">
      <c r="A380" s="3">
        <f t="shared" si="45"/>
        <v>368</v>
      </c>
      <c r="B380" s="3">
        <f t="shared" si="46"/>
        <v>368</v>
      </c>
      <c r="C380" s="3">
        <f t="shared" si="47"/>
        <v>298.79924508759319</v>
      </c>
      <c r="D380" s="3">
        <f t="shared" si="40"/>
        <v>2.1606374000748524E-2</v>
      </c>
      <c r="E380" s="3">
        <f t="shared" si="41"/>
        <v>298.82085146159392</v>
      </c>
      <c r="F380" s="3">
        <f t="shared" si="42"/>
        <v>2.1218164895168139E-2</v>
      </c>
      <c r="G380" s="3">
        <f t="shared" si="43"/>
        <v>298.80037550610353</v>
      </c>
      <c r="H380" s="3">
        <f t="shared" si="44"/>
        <v>1.1304185103426789E-3</v>
      </c>
    </row>
    <row r="381" spans="1:8" x14ac:dyDescent="0.25">
      <c r="A381" s="3">
        <f t="shared" si="45"/>
        <v>369</v>
      </c>
      <c r="B381" s="3">
        <f t="shared" si="46"/>
        <v>369</v>
      </c>
      <c r="C381" s="3">
        <f t="shared" si="47"/>
        <v>298.82065735704117</v>
      </c>
      <c r="D381" s="3">
        <f t="shared" si="40"/>
        <v>2.1221652532091653E-2</v>
      </c>
      <c r="E381" s="3">
        <f t="shared" si="41"/>
        <v>298.84187900957329</v>
      </c>
      <c r="F381" s="3">
        <f t="shared" si="42"/>
        <v>2.0840335460267295E-2</v>
      </c>
      <c r="G381" s="3">
        <f t="shared" si="43"/>
        <v>298.82176880535945</v>
      </c>
      <c r="H381" s="3">
        <f t="shared" si="44"/>
        <v>1.1114483182836921E-3</v>
      </c>
    </row>
    <row r="382" spans="1:8" x14ac:dyDescent="0.25">
      <c r="A382" s="3">
        <f t="shared" si="45"/>
        <v>370</v>
      </c>
      <c r="B382" s="3">
        <f t="shared" si="46"/>
        <v>370</v>
      </c>
      <c r="C382" s="3">
        <f t="shared" si="47"/>
        <v>298.84168835103736</v>
      </c>
      <c r="D382" s="3">
        <f t="shared" si="40"/>
        <v>2.0843761361276688E-2</v>
      </c>
      <c r="E382" s="3">
        <f t="shared" si="41"/>
        <v>298.86253211239864</v>
      </c>
      <c r="F382" s="3">
        <f t="shared" si="42"/>
        <v>2.0469214685338865E-2</v>
      </c>
      <c r="G382" s="3">
        <f t="shared" si="43"/>
        <v>298.84278114536744</v>
      </c>
      <c r="H382" s="3">
        <f t="shared" si="44"/>
        <v>1.0927943300771403E-3</v>
      </c>
    </row>
    <row r="383" spans="1:8" x14ac:dyDescent="0.25">
      <c r="A383" s="3">
        <f t="shared" si="45"/>
        <v>371</v>
      </c>
      <c r="B383" s="3">
        <f t="shared" si="46"/>
        <v>371</v>
      </c>
      <c r="C383" s="3">
        <f t="shared" si="47"/>
        <v>298.86234483906065</v>
      </c>
      <c r="D383" s="3">
        <f t="shared" si="40"/>
        <v>2.0472579933581467E-2</v>
      </c>
      <c r="E383" s="3">
        <f t="shared" si="41"/>
        <v>298.88281741899425</v>
      </c>
      <c r="F383" s="3">
        <f t="shared" si="42"/>
        <v>2.0104684136912781E-2</v>
      </c>
      <c r="G383" s="3">
        <f t="shared" si="43"/>
        <v>298.86341929039139</v>
      </c>
      <c r="H383" s="3">
        <f t="shared" si="44"/>
        <v>1.0744513307372472E-3</v>
      </c>
    </row>
    <row r="384" spans="1:8" x14ac:dyDescent="0.25">
      <c r="A384" s="3">
        <f t="shared" si="45"/>
        <v>372</v>
      </c>
      <c r="B384" s="3">
        <f t="shared" si="46"/>
        <v>372</v>
      </c>
      <c r="C384" s="3">
        <f t="shared" si="47"/>
        <v>298.88263347109591</v>
      </c>
      <c r="D384" s="3">
        <f t="shared" si="40"/>
        <v>2.0107989796876686E-2</v>
      </c>
      <c r="E384" s="3">
        <f t="shared" si="41"/>
        <v>298.9027414608928</v>
      </c>
      <c r="F384" s="3">
        <f t="shared" si="42"/>
        <v>1.9746627448039934E-2</v>
      </c>
      <c r="G384" s="3">
        <f t="shared" si="43"/>
        <v>298.88368988528549</v>
      </c>
      <c r="H384" s="3">
        <f t="shared" si="44"/>
        <v>1.0564141895770263E-3</v>
      </c>
    </row>
    <row r="385" spans="1:8" x14ac:dyDescent="0.25">
      <c r="A385" s="3">
        <f t="shared" si="45"/>
        <v>373</v>
      </c>
      <c r="B385" s="3">
        <f t="shared" si="46"/>
        <v>373</v>
      </c>
      <c r="C385" s="3">
        <f t="shared" si="47"/>
        <v>298.90256077971839</v>
      </c>
      <c r="D385" s="3">
        <f t="shared" si="40"/>
        <v>1.9749874565858281E-2</v>
      </c>
      <c r="E385" s="3">
        <f t="shared" si="41"/>
        <v>298.92231065428422</v>
      </c>
      <c r="F385" s="3">
        <f t="shared" si="42"/>
        <v>1.9394930283088058E-2</v>
      </c>
      <c r="G385" s="3">
        <f t="shared" si="43"/>
        <v>298.90359945757672</v>
      </c>
      <c r="H385" s="3">
        <f t="shared" si="44"/>
        <v>1.0386778583324485E-3</v>
      </c>
    </row>
    <row r="386" spans="1:8" x14ac:dyDescent="0.25">
      <c r="A386" s="3">
        <f t="shared" si="45"/>
        <v>374</v>
      </c>
      <c r="B386" s="3">
        <f t="shared" si="46"/>
        <v>374</v>
      </c>
      <c r="C386" s="3">
        <f t="shared" si="47"/>
        <v>298.92213318214289</v>
      </c>
      <c r="D386" s="3">
        <f t="shared" si="40"/>
        <v>1.9398119886853932E-2</v>
      </c>
      <c r="E386" s="3">
        <f t="shared" si="41"/>
        <v>298.94153130202972</v>
      </c>
      <c r="F386" s="3">
        <f t="shared" si="42"/>
        <v>1.9049480303128388E-2</v>
      </c>
      <c r="G386" s="3">
        <f t="shared" si="43"/>
        <v>298.92315441951411</v>
      </c>
      <c r="H386" s="3">
        <f t="shared" si="44"/>
        <v>1.0212373712192857E-3</v>
      </c>
    </row>
    <row r="387" spans="1:8" x14ac:dyDescent="0.25">
      <c r="A387" s="3">
        <f t="shared" si="45"/>
        <v>375</v>
      </c>
      <c r="B387" s="3">
        <f t="shared" si="46"/>
        <v>375</v>
      </c>
      <c r="C387" s="3">
        <f t="shared" si="47"/>
        <v>298.94135698223789</v>
      </c>
      <c r="D387" s="3">
        <f t="shared" si="40"/>
        <v>1.9052613403184409E-2</v>
      </c>
      <c r="E387" s="3">
        <f t="shared" si="41"/>
        <v>298.96040959564107</v>
      </c>
      <c r="F387" s="3">
        <f t="shared" si="42"/>
        <v>1.8710167131866962E-2</v>
      </c>
      <c r="G387" s="3">
        <f t="shared" si="43"/>
        <v>298.94236107008101</v>
      </c>
      <c r="H387" s="3">
        <f t="shared" si="44"/>
        <v>1.0040878431141209E-3</v>
      </c>
    </row>
    <row r="388" spans="1:8" x14ac:dyDescent="0.25">
      <c r="A388" s="3">
        <f t="shared" si="45"/>
        <v>376</v>
      </c>
      <c r="B388" s="3">
        <f t="shared" si="46"/>
        <v>376</v>
      </c>
      <c r="C388" s="3">
        <f t="shared" si="47"/>
        <v>298.96023837250544</v>
      </c>
      <c r="D388" s="3">
        <f t="shared" si="40"/>
        <v>1.8713244721103202E-2</v>
      </c>
      <c r="E388" s="3">
        <f t="shared" si="41"/>
        <v>298.97895161722653</v>
      </c>
      <c r="F388" s="3">
        <f t="shared" si="42"/>
        <v>1.8376882322131916E-2</v>
      </c>
      <c r="G388" s="3">
        <f t="shared" si="43"/>
        <v>298.96122559697295</v>
      </c>
      <c r="H388" s="3">
        <f t="shared" si="44"/>
        <v>9.8722446750798554E-4</v>
      </c>
    </row>
    <row r="389" spans="1:8" x14ac:dyDescent="0.25">
      <c r="A389" s="3">
        <f t="shared" si="45"/>
        <v>377</v>
      </c>
      <c r="B389" s="3">
        <f t="shared" si="46"/>
        <v>377</v>
      </c>
      <c r="C389" s="3">
        <f t="shared" si="47"/>
        <v>298.97878343602707</v>
      </c>
      <c r="D389" s="3">
        <f t="shared" si="40"/>
        <v>1.8379905376279849E-2</v>
      </c>
      <c r="E389" s="3">
        <f t="shared" si="41"/>
        <v>298.99716334140334</v>
      </c>
      <c r="F389" s="3">
        <f t="shared" si="42"/>
        <v>1.8049519322908745E-2</v>
      </c>
      <c r="G389" s="3">
        <f t="shared" si="43"/>
        <v>298.97975407854432</v>
      </c>
      <c r="H389" s="3">
        <f t="shared" si="44"/>
        <v>9.7064251724532369E-4</v>
      </c>
    </row>
    <row r="390" spans="1:8" x14ac:dyDescent="0.25">
      <c r="A390" s="3">
        <f t="shared" si="45"/>
        <v>378</v>
      </c>
      <c r="B390" s="3">
        <f t="shared" si="46"/>
        <v>378</v>
      </c>
      <c r="C390" s="3">
        <f t="shared" si="47"/>
        <v>298.99699814837669</v>
      </c>
      <c r="D390" s="3">
        <f t="shared" si="40"/>
        <v>1.8052488800826747E-2</v>
      </c>
      <c r="E390" s="3">
        <f t="shared" si="41"/>
        <v>299.01505063717752</v>
      </c>
      <c r="F390" s="3">
        <f t="shared" si="42"/>
        <v>1.7727973446906031E-2</v>
      </c>
      <c r="G390" s="3">
        <f t="shared" si="43"/>
        <v>298.99795248571684</v>
      </c>
      <c r="H390" s="3">
        <f t="shared" si="44"/>
        <v>9.5433734014704896E-4</v>
      </c>
    </row>
    <row r="391" spans="1:8" x14ac:dyDescent="0.25">
      <c r="A391" s="3">
        <f t="shared" si="45"/>
        <v>379</v>
      </c>
      <c r="B391" s="3">
        <f t="shared" si="46"/>
        <v>379</v>
      </c>
      <c r="C391" s="3">
        <f t="shared" si="47"/>
        <v>299.01488837950058</v>
      </c>
      <c r="D391" s="3">
        <f t="shared" si="40"/>
        <v>1.773089029086089E-2</v>
      </c>
      <c r="E391" s="3">
        <f t="shared" si="41"/>
        <v>299.03261926979144</v>
      </c>
      <c r="F391" s="3">
        <f t="shared" si="42"/>
        <v>1.7412141838664474E-2</v>
      </c>
      <c r="G391" s="3">
        <f t="shared" si="43"/>
        <v>299.01582668386203</v>
      </c>
      <c r="H391" s="3">
        <f t="shared" si="44"/>
        <v>9.3830436145481144E-4</v>
      </c>
    </row>
    <row r="392" spans="1:8" x14ac:dyDescent="0.25">
      <c r="A392" s="3">
        <f t="shared" si="45"/>
        <v>380</v>
      </c>
      <c r="B392" s="3">
        <f t="shared" si="46"/>
        <v>380</v>
      </c>
      <c r="C392" s="3">
        <f t="shared" si="47"/>
        <v>299.03245989556535</v>
      </c>
      <c r="D392" s="3">
        <f t="shared" si="40"/>
        <v>1.7415006974601875E-2</v>
      </c>
      <c r="E392" s="3">
        <f t="shared" si="41"/>
        <v>299.04987490253995</v>
      </c>
      <c r="F392" s="3">
        <f t="shared" si="42"/>
        <v>1.7101923443155885E-2</v>
      </c>
      <c r="G392" s="3">
        <f t="shared" si="43"/>
        <v>299.03338243464492</v>
      </c>
      <c r="H392" s="3">
        <f t="shared" si="44"/>
        <v>9.2253907956774128E-4</v>
      </c>
    </row>
    <row r="393" spans="1:8" x14ac:dyDescent="0.25">
      <c r="A393" s="3">
        <f t="shared" si="45"/>
        <v>381</v>
      </c>
      <c r="B393" s="3">
        <f t="shared" si="46"/>
        <v>381</v>
      </c>
      <c r="C393" s="3">
        <f t="shared" si="47"/>
        <v>299.04971836077425</v>
      </c>
      <c r="D393" s="3">
        <f t="shared" si="40"/>
        <v>1.7104737780986069E-2</v>
      </c>
      <c r="E393" s="3">
        <f t="shared" si="41"/>
        <v>299.06682309855523</v>
      </c>
      <c r="F393" s="3">
        <f t="shared" si="42"/>
        <v>1.6797218974932571E-2</v>
      </c>
      <c r="G393" s="3">
        <f t="shared" si="43"/>
        <v>299.05062539784075</v>
      </c>
      <c r="H393" s="3">
        <f t="shared" si="44"/>
        <v>9.0703706649719607E-4</v>
      </c>
    </row>
    <row r="394" spans="1:8" x14ac:dyDescent="0.25">
      <c r="A394" s="3">
        <f t="shared" si="45"/>
        <v>382</v>
      </c>
      <c r="B394" s="3">
        <f t="shared" si="46"/>
        <v>382</v>
      </c>
      <c r="C394" s="3">
        <f t="shared" si="47"/>
        <v>299.06666933915221</v>
      </c>
      <c r="D394" s="3">
        <f t="shared" si="40"/>
        <v>1.6799983408790548E-2</v>
      </c>
      <c r="E394" s="3">
        <f t="shared" si="41"/>
        <v>299.08346932256103</v>
      </c>
      <c r="F394" s="3">
        <f t="shared" si="42"/>
        <v>1.6497930887756435E-2</v>
      </c>
      <c r="G394" s="3">
        <f t="shared" si="43"/>
        <v>299.06756113311894</v>
      </c>
      <c r="H394" s="3">
        <f t="shared" si="44"/>
        <v>8.9179396672989242E-4</v>
      </c>
    </row>
    <row r="395" spans="1:8" x14ac:dyDescent="0.25">
      <c r="A395" s="3">
        <f t="shared" si="45"/>
        <v>383</v>
      </c>
      <c r="B395" s="3">
        <f t="shared" si="46"/>
        <v>383</v>
      </c>
      <c r="C395" s="3">
        <f t="shared" si="47"/>
        <v>299.08331829630049</v>
      </c>
      <c r="D395" s="3">
        <f t="shared" si="40"/>
        <v>1.6500646296270158E-2</v>
      </c>
      <c r="E395" s="3">
        <f t="shared" si="41"/>
        <v>299.09981894259676</v>
      </c>
      <c r="F395" s="3">
        <f t="shared" si="42"/>
        <v>1.6203963344744554E-2</v>
      </c>
      <c r="G395" s="3">
        <f t="shared" si="43"/>
        <v>299.08419510179584</v>
      </c>
      <c r="H395" s="3">
        <f t="shared" si="44"/>
        <v>8.7680549535207319E-4</v>
      </c>
    </row>
    <row r="396" spans="1:8" x14ac:dyDescent="0.25">
      <c r="A396" s="3">
        <f t="shared" si="45"/>
        <v>384</v>
      </c>
      <c r="B396" s="3">
        <f t="shared" si="46"/>
        <v>384</v>
      </c>
      <c r="C396" s="3">
        <f t="shared" si="47"/>
        <v>299.09967060112098</v>
      </c>
      <c r="D396" s="3">
        <f t="shared" ref="D396:D459" si="48">$B$3*C396^(3/4)*(1-(C396/$B$4)^(1/4))</f>
        <v>1.6206630591296657E-2</v>
      </c>
      <c r="E396" s="3">
        <f t="shared" ref="E396:E459" si="49">C396+$B$6*D396</f>
        <v>299.11587723171226</v>
      </c>
      <c r="F396" s="3">
        <f t="shared" ref="F396:F459" si="50">$B$3*E396^(3/4)*(1-(E396/$B$4)^(1/4))</f>
        <v>1.5915222188984026E-2</v>
      </c>
      <c r="G396" s="3">
        <f t="shared" ref="G396:G412" si="51">( $B$8 + ($B$9-$B$8)*EXP(-$B$3*B396/(4*$B$8)) )^4</f>
        <v>299.10053266855851</v>
      </c>
      <c r="H396" s="3">
        <f t="shared" ref="H396:H459" si="52">ABS(C396-G396)</f>
        <v>8.620674375379167E-4</v>
      </c>
    </row>
    <row r="397" spans="1:8" x14ac:dyDescent="0.25">
      <c r="A397" s="3">
        <f t="shared" ref="A397:A412" si="53">A396+1</f>
        <v>385</v>
      </c>
      <c r="B397" s="3">
        <f t="shared" ref="B397:B412" si="54">B396+$B$6</f>
        <v>385</v>
      </c>
      <c r="C397" s="3">
        <f t="shared" ref="C397:C412" si="55">C396+($B$6/2)*(D396+F396)</f>
        <v>299.11573152751112</v>
      </c>
      <c r="D397" s="3">
        <f t="shared" si="48"/>
        <v>1.5917842121962296E-2</v>
      </c>
      <c r="E397" s="3">
        <f t="shared" si="49"/>
        <v>299.13164936963307</v>
      </c>
      <c r="F397" s="3">
        <f t="shared" si="50"/>
        <v>1.5631614914652297E-2</v>
      </c>
      <c r="G397" s="3">
        <f t="shared" si="51"/>
        <v>299.11657910315739</v>
      </c>
      <c r="H397" s="3">
        <f t="shared" si="52"/>
        <v>8.4757564627579995E-4</v>
      </c>
    </row>
    <row r="398" spans="1:8" x14ac:dyDescent="0.25">
      <c r="A398" s="3">
        <f t="shared" si="53"/>
        <v>386</v>
      </c>
      <c r="B398" s="3">
        <f t="shared" si="54"/>
        <v>386</v>
      </c>
      <c r="C398" s="3">
        <f t="shared" si="55"/>
        <v>299.13150625602941</v>
      </c>
      <c r="D398" s="3">
        <f t="shared" si="48"/>
        <v>1.5634188367715383E-2</v>
      </c>
      <c r="E398" s="3">
        <f t="shared" si="49"/>
        <v>299.14714044439711</v>
      </c>
      <c r="F398" s="3">
        <f t="shared" si="50"/>
        <v>1.5353050638605715E-2</v>
      </c>
      <c r="G398" s="3">
        <f t="shared" si="51"/>
        <v>299.13233958207331</v>
      </c>
      <c r="H398" s="3">
        <f t="shared" si="52"/>
        <v>8.3332604390307097E-4</v>
      </c>
    </row>
    <row r="399" spans="1:8" x14ac:dyDescent="0.25">
      <c r="A399" s="3">
        <f t="shared" si="53"/>
        <v>387</v>
      </c>
      <c r="B399" s="3">
        <f t="shared" si="54"/>
        <v>387</v>
      </c>
      <c r="C399" s="3">
        <f t="shared" si="55"/>
        <v>299.14699987553257</v>
      </c>
      <c r="D399" s="3">
        <f t="shared" si="48"/>
        <v>1.53555784309158E-2</v>
      </c>
      <c r="E399" s="3">
        <f t="shared" si="49"/>
        <v>299.16235545396347</v>
      </c>
      <c r="F399" s="3">
        <f t="shared" si="50"/>
        <v>1.5079440072436161E-2</v>
      </c>
      <c r="G399" s="3">
        <f t="shared" si="51"/>
        <v>299.14781919014985</v>
      </c>
      <c r="H399" s="3">
        <f t="shared" si="52"/>
        <v>8.1931461727435817E-4</v>
      </c>
    </row>
    <row r="400" spans="1:8" x14ac:dyDescent="0.25">
      <c r="A400" s="3">
        <f t="shared" si="53"/>
        <v>388</v>
      </c>
      <c r="B400" s="3">
        <f t="shared" si="54"/>
        <v>388</v>
      </c>
      <c r="C400" s="3">
        <f t="shared" si="55"/>
        <v>299.16221738478424</v>
      </c>
      <c r="D400" s="3">
        <f t="shared" si="48"/>
        <v>1.5081923008913988E-2</v>
      </c>
      <c r="E400" s="3">
        <f t="shared" si="49"/>
        <v>299.17729930779313</v>
      </c>
      <c r="F400" s="3">
        <f t="shared" si="50"/>
        <v>1.4810695494989101E-2</v>
      </c>
      <c r="G400" s="3">
        <f t="shared" si="51"/>
        <v>299.16302292220496</v>
      </c>
      <c r="H400" s="3">
        <f t="shared" si="52"/>
        <v>8.0553742071742818E-4</v>
      </c>
    </row>
    <row r="401" spans="1:8" x14ac:dyDescent="0.25">
      <c r="A401" s="3">
        <f t="shared" si="53"/>
        <v>389</v>
      </c>
      <c r="B401" s="3">
        <f t="shared" si="54"/>
        <v>389</v>
      </c>
      <c r="C401" s="3">
        <f t="shared" si="55"/>
        <v>299.17716369403621</v>
      </c>
      <c r="D401" s="3">
        <f t="shared" si="48"/>
        <v>1.4813134366552896E-2</v>
      </c>
      <c r="E401" s="3">
        <f t="shared" si="49"/>
        <v>299.19197682840274</v>
      </c>
      <c r="F401" s="3">
        <f t="shared" si="50"/>
        <v>1.4546730725338472E-2</v>
      </c>
      <c r="G401" s="3">
        <f t="shared" si="51"/>
        <v>299.17795568460775</v>
      </c>
      <c r="H401" s="3">
        <f t="shared" si="52"/>
        <v>7.919905715425557E-4</v>
      </c>
    </row>
    <row r="402" spans="1:8" x14ac:dyDescent="0.25">
      <c r="A402" s="3">
        <f t="shared" si="53"/>
        <v>390</v>
      </c>
      <c r="B402" s="3">
        <f t="shared" si="54"/>
        <v>390</v>
      </c>
      <c r="C402" s="3">
        <f t="shared" si="55"/>
        <v>299.19184362658217</v>
      </c>
      <c r="D402" s="3">
        <f t="shared" si="48"/>
        <v>1.4549126309138575E-2</v>
      </c>
      <c r="E402" s="3">
        <f t="shared" si="49"/>
        <v>299.2063927528913</v>
      </c>
      <c r="F402" s="3">
        <f t="shared" si="50"/>
        <v>1.4287461096216021E-2</v>
      </c>
      <c r="G402" s="3">
        <f t="shared" si="51"/>
        <v>299.19262229683318</v>
      </c>
      <c r="H402" s="3">
        <f t="shared" si="52"/>
        <v>7.7867025100886167E-4</v>
      </c>
    </row>
    <row r="403" spans="1:8" x14ac:dyDescent="0.25">
      <c r="A403" s="3">
        <f t="shared" si="53"/>
        <v>391</v>
      </c>
      <c r="B403" s="3">
        <f t="shared" si="54"/>
        <v>391</v>
      </c>
      <c r="C403" s="3">
        <f t="shared" si="55"/>
        <v>299.20626192028487</v>
      </c>
      <c r="D403" s="3">
        <f t="shared" si="48"/>
        <v>1.4289814155870221E-2</v>
      </c>
      <c r="E403" s="3">
        <f t="shared" si="49"/>
        <v>299.22055173444073</v>
      </c>
      <c r="F403" s="3">
        <f t="shared" si="50"/>
        <v>1.4032803427878356E-2</v>
      </c>
      <c r="G403" s="3">
        <f t="shared" si="51"/>
        <v>299.20702749298817</v>
      </c>
      <c r="H403" s="3">
        <f t="shared" si="52"/>
        <v>7.655727033011317E-4</v>
      </c>
    </row>
    <row r="404" spans="1:8" x14ac:dyDescent="0.25">
      <c r="A404" s="3">
        <f t="shared" si="53"/>
        <v>392</v>
      </c>
      <c r="B404" s="3">
        <f t="shared" si="54"/>
        <v>392</v>
      </c>
      <c r="C404" s="3">
        <f t="shared" si="55"/>
        <v>299.22042322907674</v>
      </c>
      <c r="D404" s="3">
        <f t="shared" si="48"/>
        <v>1.4035114713698204E-2</v>
      </c>
      <c r="E404" s="3">
        <f t="shared" si="49"/>
        <v>299.23445834379044</v>
      </c>
      <c r="F404" s="3">
        <f t="shared" si="50"/>
        <v>1.3782676002392564E-2</v>
      </c>
      <c r="G404" s="3">
        <f t="shared" si="51"/>
        <v>299.22117592331</v>
      </c>
      <c r="H404" s="3">
        <f t="shared" si="52"/>
        <v>7.5269423325607931E-4</v>
      </c>
    </row>
    <row r="405" spans="1:8" x14ac:dyDescent="0.25">
      <c r="A405" s="3">
        <f t="shared" si="53"/>
        <v>393</v>
      </c>
      <c r="B405" s="3">
        <f t="shared" si="54"/>
        <v>393</v>
      </c>
      <c r="C405" s="3">
        <f t="shared" si="55"/>
        <v>299.23433212443479</v>
      </c>
      <c r="D405" s="3">
        <f t="shared" si="48"/>
        <v>1.378494625161983E-2</v>
      </c>
      <c r="E405" s="3">
        <f t="shared" si="49"/>
        <v>299.24811707068642</v>
      </c>
      <c r="F405" s="3">
        <f t="shared" si="50"/>
        <v>1.3536998538392873E-2</v>
      </c>
      <c r="G405" s="3">
        <f t="shared" si="51"/>
        <v>299.23507215564109</v>
      </c>
      <c r="H405" s="3">
        <f t="shared" si="52"/>
        <v>7.4003120630550256E-4</v>
      </c>
    </row>
    <row r="406" spans="1:8" x14ac:dyDescent="0.25">
      <c r="A406" s="3">
        <f t="shared" si="53"/>
        <v>394</v>
      </c>
      <c r="B406" s="3">
        <f t="shared" si="54"/>
        <v>394</v>
      </c>
      <c r="C406" s="3">
        <f t="shared" si="55"/>
        <v>299.24799309682982</v>
      </c>
      <c r="D406" s="3">
        <f t="shared" si="48"/>
        <v>1.353922847540053E-2</v>
      </c>
      <c r="E406" s="3">
        <f t="shared" si="49"/>
        <v>299.26153232530521</v>
      </c>
      <c r="F406" s="3">
        <f t="shared" si="50"/>
        <v>1.3295692166200208E-2</v>
      </c>
      <c r="G406" s="3">
        <f t="shared" si="51"/>
        <v>299.24872067687795</v>
      </c>
      <c r="H406" s="3">
        <f t="shared" si="52"/>
        <v>7.2758004813522348E-4</v>
      </c>
    </row>
    <row r="407" spans="1:8" x14ac:dyDescent="0.25">
      <c r="A407" s="3">
        <f t="shared" si="53"/>
        <v>395</v>
      </c>
      <c r="B407" s="3">
        <f t="shared" si="54"/>
        <v>395</v>
      </c>
      <c r="C407" s="3">
        <f t="shared" si="55"/>
        <v>299.26141055715061</v>
      </c>
      <c r="D407" s="3">
        <f t="shared" si="48"/>
        <v>1.3297882502737194E-2</v>
      </c>
      <c r="E407" s="3">
        <f t="shared" si="49"/>
        <v>299.27470843965335</v>
      </c>
      <c r="F407" s="3">
        <f t="shared" si="50"/>
        <v>1.3058679403417178E-2</v>
      </c>
      <c r="G407" s="3">
        <f t="shared" si="51"/>
        <v>299.26212589439251</v>
      </c>
      <c r="H407" s="3">
        <f t="shared" si="52"/>
        <v>7.1533724189976056E-4</v>
      </c>
    </row>
    <row r="408" spans="1:8" x14ac:dyDescent="0.25">
      <c r="A408" s="3">
        <f t="shared" si="53"/>
        <v>396</v>
      </c>
      <c r="B408" s="3">
        <f t="shared" si="54"/>
        <v>396</v>
      </c>
      <c r="C408" s="3">
        <f t="shared" si="55"/>
        <v>299.27458883810368</v>
      </c>
      <c r="D408" s="3">
        <f t="shared" si="48"/>
        <v>1.3060830838800901E-2</v>
      </c>
      <c r="E408" s="3">
        <f t="shared" si="49"/>
        <v>299.28764966894249</v>
      </c>
      <c r="F408" s="3">
        <f t="shared" si="50"/>
        <v>1.2825884130885342E-2</v>
      </c>
      <c r="G408" s="3">
        <f t="shared" si="51"/>
        <v>299.27529213743287</v>
      </c>
      <c r="H408" s="3">
        <f t="shared" si="52"/>
        <v>7.0329932918866689E-4</v>
      </c>
    </row>
    <row r="409" spans="1:8" x14ac:dyDescent="0.25">
      <c r="A409" s="3">
        <f t="shared" si="53"/>
        <v>397</v>
      </c>
      <c r="B409" s="3">
        <f t="shared" si="54"/>
        <v>397</v>
      </c>
      <c r="C409" s="3">
        <f t="shared" si="55"/>
        <v>299.28753219558854</v>
      </c>
      <c r="D409" s="3">
        <f t="shared" si="48"/>
        <v>1.2827997352228119E-2</v>
      </c>
      <c r="E409" s="3">
        <f t="shared" si="49"/>
        <v>299.30036019294079</v>
      </c>
      <c r="F409" s="3">
        <f t="shared" si="50"/>
        <v>1.2597231569073815E-2</v>
      </c>
      <c r="G409" s="3">
        <f t="shared" si="51"/>
        <v>299.28822365849601</v>
      </c>
      <c r="H409" s="3">
        <f t="shared" si="52"/>
        <v>6.914629074685763E-4</v>
      </c>
    </row>
    <row r="410" spans="1:8" x14ac:dyDescent="0.25">
      <c r="A410" s="3">
        <f t="shared" si="53"/>
        <v>398</v>
      </c>
      <c r="B410" s="3">
        <f t="shared" si="54"/>
        <v>398</v>
      </c>
      <c r="C410" s="3">
        <f t="shared" si="55"/>
        <v>299.30024481004921</v>
      </c>
      <c r="D410" s="3">
        <f t="shared" si="48"/>
        <v>1.2599307251481145E-2</v>
      </c>
      <c r="E410" s="3">
        <f t="shared" si="49"/>
        <v>299.3128441173007</v>
      </c>
      <c r="F410" s="3">
        <f t="shared" si="50"/>
        <v>1.2372648254841122E-2</v>
      </c>
      <c r="G410" s="3">
        <f t="shared" si="51"/>
        <v>299.30092463467986</v>
      </c>
      <c r="H410" s="3">
        <f t="shared" si="52"/>
        <v>6.7982463065163756E-4</v>
      </c>
    </row>
    <row r="411" spans="1:8" x14ac:dyDescent="0.25">
      <c r="A411" s="3">
        <f t="shared" si="53"/>
        <v>399</v>
      </c>
      <c r="B411" s="3">
        <f t="shared" si="54"/>
        <v>399</v>
      </c>
      <c r="C411" s="3">
        <f t="shared" si="55"/>
        <v>299.31273078780237</v>
      </c>
      <c r="D411" s="3">
        <f t="shared" si="48"/>
        <v>1.2374687061629556E-2</v>
      </c>
      <c r="E411" s="3">
        <f t="shared" si="49"/>
        <v>299.32510547486402</v>
      </c>
      <c r="F411" s="3">
        <f t="shared" si="50"/>
        <v>1.2152062018617819E-2</v>
      </c>
      <c r="G411" s="3">
        <f t="shared" si="51"/>
        <v>299.31339916900976</v>
      </c>
      <c r="H411" s="3">
        <f t="shared" si="52"/>
        <v>6.6838120739021178E-4</v>
      </c>
    </row>
    <row r="412" spans="1:8" x14ac:dyDescent="0.25">
      <c r="A412" s="3">
        <f t="shared" si="53"/>
        <v>400</v>
      </c>
      <c r="B412" s="3">
        <f t="shared" si="54"/>
        <v>400</v>
      </c>
      <c r="C412" s="3">
        <f t="shared" si="55"/>
        <v>299.32499416234248</v>
      </c>
      <c r="D412" s="3">
        <f t="shared" si="48"/>
        <v>1.2154064601499676E-2</v>
      </c>
      <c r="E412" s="3">
        <f t="shared" si="49"/>
        <v>299.33714822694395</v>
      </c>
      <c r="F412" s="3">
        <f t="shared" si="50"/>
        <v>1.1935401961937131E-2</v>
      </c>
      <c r="G412" s="3">
        <f t="shared" si="51"/>
        <v>299.32565129174293</v>
      </c>
      <c r="H412" s="3">
        <f t="shared" si="52"/>
        <v>6.5712940045159485E-4</v>
      </c>
    </row>
    <row r="413" spans="1:8" x14ac:dyDescent="0.25">
      <c r="A413" s="3"/>
      <c r="B413" s="3"/>
      <c r="C413" s="3"/>
      <c r="D413" s="3"/>
      <c r="E413" s="3"/>
      <c r="F413" s="3"/>
      <c r="G413" s="3"/>
      <c r="H413" s="3"/>
    </row>
  </sheetData>
  <mergeCells count="1">
    <mergeCell ref="A1:H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3"/>
  <sheetViews>
    <sheetView workbookViewId="0">
      <selection sqref="A1:F1"/>
    </sheetView>
  </sheetViews>
  <sheetFormatPr baseColWidth="10" defaultColWidth="9.140625" defaultRowHeight="15" x14ac:dyDescent="0.25"/>
  <cols>
    <col min="1" max="1" width="18" customWidth="1"/>
    <col min="2" max="2" width="10" customWidth="1"/>
    <col min="3" max="3" width="16" customWidth="1"/>
    <col min="4" max="4" width="18" customWidth="1"/>
    <col min="5" max="5" width="16" customWidth="1"/>
    <col min="6" max="6" width="14" customWidth="1"/>
    <col min="8" max="8" width="10" customWidth="1"/>
    <col min="9" max="9" width="16" customWidth="1"/>
  </cols>
  <sheetData>
    <row r="1" spans="1:6" ht="21" x14ac:dyDescent="0.25">
      <c r="A1" s="7" t="s">
        <v>19</v>
      </c>
      <c r="B1" s="8"/>
      <c r="C1" s="8"/>
      <c r="D1" s="8"/>
      <c r="E1" s="8"/>
      <c r="F1" s="8"/>
    </row>
    <row r="3" spans="1:6" x14ac:dyDescent="0.25">
      <c r="A3" s="1" t="s">
        <v>20</v>
      </c>
      <c r="B3">
        <v>5</v>
      </c>
    </row>
    <row r="4" spans="1:6" x14ac:dyDescent="0.25">
      <c r="A4" s="1" t="s">
        <v>21</v>
      </c>
      <c r="B4">
        <v>2</v>
      </c>
    </row>
    <row r="5" spans="1:6" x14ac:dyDescent="0.25">
      <c r="A5" s="1" t="s">
        <v>22</v>
      </c>
      <c r="B5">
        <v>0.5</v>
      </c>
    </row>
    <row r="6" spans="1:6" x14ac:dyDescent="0.25">
      <c r="A6" s="1" t="s">
        <v>4</v>
      </c>
      <c r="B6">
        <v>0.1</v>
      </c>
    </row>
    <row r="7" spans="1:6" x14ac:dyDescent="0.25">
      <c r="A7" s="1" t="s">
        <v>5</v>
      </c>
      <c r="B7">
        <v>10</v>
      </c>
    </row>
    <row r="8" spans="1:6" x14ac:dyDescent="0.25">
      <c r="A8" s="1" t="s">
        <v>23</v>
      </c>
      <c r="B8">
        <f>B3/B4</f>
        <v>2.5</v>
      </c>
    </row>
    <row r="9" spans="1:6" x14ac:dyDescent="0.25">
      <c r="A9" s="1" t="s">
        <v>24</v>
      </c>
      <c r="B9">
        <f>B5^(1/3)</f>
        <v>0.79370052598409979</v>
      </c>
    </row>
    <row r="11" spans="1:6" x14ac:dyDescent="0.25">
      <c r="A11" s="5" t="s">
        <v>8</v>
      </c>
      <c r="B11" s="5" t="s">
        <v>9</v>
      </c>
      <c r="C11" s="5" t="s">
        <v>25</v>
      </c>
      <c r="D11" s="5" t="s">
        <v>26</v>
      </c>
      <c r="E11" s="5" t="s">
        <v>27</v>
      </c>
      <c r="F11" s="5" t="s">
        <v>13</v>
      </c>
    </row>
    <row r="12" spans="1:6" x14ac:dyDescent="0.25">
      <c r="A12" s="3">
        <v>0</v>
      </c>
      <c r="B12" s="3">
        <v>0</v>
      </c>
      <c r="C12" s="3">
        <f>B5</f>
        <v>0.5</v>
      </c>
      <c r="D12" s="3">
        <f t="shared" ref="D12:D43" si="0">$B$3*C12^(2/3)-$B$4*C12</f>
        <v>2.1498026247371831</v>
      </c>
      <c r="E12" s="3">
        <f t="shared" ref="E12:E43" si="1">( $B$8 + ($B$9-$B$8)*EXP(-$B$4*B12/3) )^3</f>
        <v>0.49999999999999989</v>
      </c>
      <c r="F12" s="3">
        <f t="shared" ref="F12:F43" si="2">ABS(C12-E12)</f>
        <v>1.1102230246251565E-16</v>
      </c>
    </row>
    <row r="13" spans="1:6" x14ac:dyDescent="0.25">
      <c r="A13" s="3">
        <f t="shared" ref="A13:A44" si="3">A12+1</f>
        <v>1</v>
      </c>
      <c r="B13" s="3">
        <f t="shared" ref="B13:B44" si="4">B12+$B$6</f>
        <v>0.1</v>
      </c>
      <c r="C13" s="3">
        <f t="shared" ref="C13:C44" si="5">C12+$B$6*D12</f>
        <v>0.71498026247371826</v>
      </c>
      <c r="D13" s="3">
        <f t="shared" si="0"/>
        <v>2.567946650387122</v>
      </c>
      <c r="E13" s="3">
        <f t="shared" si="1"/>
        <v>0.73813808265171388</v>
      </c>
      <c r="F13" s="3">
        <f t="shared" si="2"/>
        <v>2.3157820177995614E-2</v>
      </c>
    </row>
    <row r="14" spans="1:6" x14ac:dyDescent="0.25">
      <c r="A14" s="3">
        <f t="shared" si="3"/>
        <v>2</v>
      </c>
      <c r="B14" s="3">
        <f t="shared" si="4"/>
        <v>0.2</v>
      </c>
      <c r="C14" s="3">
        <f t="shared" si="5"/>
        <v>0.97177492751243055</v>
      </c>
      <c r="D14" s="3">
        <f t="shared" si="0"/>
        <v>2.9619183388859001</v>
      </c>
      <c r="E14" s="3">
        <f t="shared" si="1"/>
        <v>1.0202113355183855</v>
      </c>
      <c r="F14" s="3">
        <f t="shared" si="2"/>
        <v>4.8436408005954945E-2</v>
      </c>
    </row>
    <row r="15" spans="1:6" x14ac:dyDescent="0.25">
      <c r="A15" s="3">
        <f t="shared" si="3"/>
        <v>3</v>
      </c>
      <c r="B15" s="3">
        <f t="shared" si="4"/>
        <v>0.30000000000000004</v>
      </c>
      <c r="C15" s="3">
        <f t="shared" si="5"/>
        <v>1.2679667614010206</v>
      </c>
      <c r="D15" s="3">
        <f t="shared" si="0"/>
        <v>3.321516391166512</v>
      </c>
      <c r="E15" s="3">
        <f t="shared" si="1"/>
        <v>1.3419202622924504</v>
      </c>
      <c r="F15" s="3">
        <f t="shared" si="2"/>
        <v>7.3953500891429824E-2</v>
      </c>
    </row>
    <row r="16" spans="1:6" x14ac:dyDescent="0.25">
      <c r="A16" s="3">
        <f t="shared" si="3"/>
        <v>4</v>
      </c>
      <c r="B16" s="3">
        <f t="shared" si="4"/>
        <v>0.4</v>
      </c>
      <c r="C16" s="3">
        <f t="shared" si="5"/>
        <v>1.6001184005176718</v>
      </c>
      <c r="D16" s="3">
        <f t="shared" si="0"/>
        <v>3.6400044182386639</v>
      </c>
      <c r="E16" s="3">
        <f t="shared" si="1"/>
        <v>1.6983497399004543</v>
      </c>
      <c r="F16" s="3">
        <f t="shared" si="2"/>
        <v>9.8231339382782501E-2</v>
      </c>
    </row>
    <row r="17" spans="1:6" x14ac:dyDescent="0.25">
      <c r="A17" s="3">
        <f t="shared" si="3"/>
        <v>5</v>
      </c>
      <c r="B17" s="3">
        <f t="shared" si="4"/>
        <v>0.5</v>
      </c>
      <c r="C17" s="3">
        <f t="shared" si="5"/>
        <v>1.9641188423415383</v>
      </c>
      <c r="D17" s="3">
        <f t="shared" si="0"/>
        <v>3.9135517934039088</v>
      </c>
      <c r="E17" s="3">
        <f t="shared" si="1"/>
        <v>2.0843152107295784</v>
      </c>
      <c r="F17" s="3">
        <f t="shared" si="2"/>
        <v>0.12019636838804004</v>
      </c>
    </row>
    <row r="18" spans="1:6" x14ac:dyDescent="0.25">
      <c r="A18" s="3">
        <f t="shared" si="3"/>
        <v>6</v>
      </c>
      <c r="B18" s="3">
        <f t="shared" si="4"/>
        <v>0.6</v>
      </c>
      <c r="C18" s="3">
        <f t="shared" si="5"/>
        <v>2.3554740216819292</v>
      </c>
      <c r="D18" s="3">
        <f t="shared" si="0"/>
        <v>4.140660858385294</v>
      </c>
      <c r="E18" s="3">
        <f t="shared" si="1"/>
        <v>2.4946129371447663</v>
      </c>
      <c r="F18" s="3">
        <f t="shared" si="2"/>
        <v>0.13913891546283708</v>
      </c>
    </row>
    <row r="19" spans="1:6" x14ac:dyDescent="0.25">
      <c r="A19" s="3">
        <f t="shared" si="3"/>
        <v>7</v>
      </c>
      <c r="B19" s="3">
        <f t="shared" si="4"/>
        <v>0.7</v>
      </c>
      <c r="C19" s="3">
        <f t="shared" si="5"/>
        <v>2.7695401075204584</v>
      </c>
      <c r="D19" s="3">
        <f t="shared" si="0"/>
        <v>4.3216356205100332</v>
      </c>
      <c r="E19" s="3">
        <f t="shared" si="1"/>
        <v>2.9241961025623375</v>
      </c>
      <c r="F19" s="3">
        <f t="shared" si="2"/>
        <v>0.1546559950418791</v>
      </c>
    </row>
    <row r="20" spans="1:6" x14ac:dyDescent="0.25">
      <c r="A20" s="3">
        <f t="shared" si="3"/>
        <v>8</v>
      </c>
      <c r="B20" s="3">
        <f t="shared" si="4"/>
        <v>0.79999999999999993</v>
      </c>
      <c r="C20" s="3">
        <f t="shared" si="5"/>
        <v>3.2017036695714616</v>
      </c>
      <c r="D20" s="3">
        <f t="shared" si="0"/>
        <v>4.4581165109471286</v>
      </c>
      <c r="E20" s="3">
        <f t="shared" si="1"/>
        <v>3.3682940298564517</v>
      </c>
      <c r="F20" s="3">
        <f t="shared" si="2"/>
        <v>0.16659036028499008</v>
      </c>
    </row>
    <row r="21" spans="1:6" x14ac:dyDescent="0.25">
      <c r="A21" s="3">
        <f t="shared" si="3"/>
        <v>9</v>
      </c>
      <c r="B21" s="3">
        <f t="shared" si="4"/>
        <v>0.89999999999999991</v>
      </c>
      <c r="C21" s="3">
        <f t="shared" si="5"/>
        <v>3.6475153206661743</v>
      </c>
      <c r="D21" s="3">
        <f t="shared" si="0"/>
        <v>4.5526886033235607</v>
      </c>
      <c r="E21" s="3">
        <f t="shared" si="1"/>
        <v>3.8224881640743189</v>
      </c>
      <c r="F21" s="3">
        <f t="shared" si="2"/>
        <v>0.17497284340814456</v>
      </c>
    </row>
    <row r="22" spans="1:6" x14ac:dyDescent="0.25">
      <c r="A22" s="3">
        <f t="shared" si="3"/>
        <v>10</v>
      </c>
      <c r="B22" s="3">
        <f t="shared" si="4"/>
        <v>0.99999999999999989</v>
      </c>
      <c r="C22" s="3">
        <f t="shared" si="5"/>
        <v>4.1027841809985306</v>
      </c>
      <c r="D22" s="3">
        <f t="shared" si="0"/>
        <v>4.6085614496887874</v>
      </c>
      <c r="E22" s="3">
        <f t="shared" si="1"/>
        <v>4.2827555620548496</v>
      </c>
      <c r="F22" s="3">
        <f t="shared" si="2"/>
        <v>0.17997138105631905</v>
      </c>
    </row>
    <row r="23" spans="1:6" x14ac:dyDescent="0.25">
      <c r="A23" s="3">
        <f t="shared" si="3"/>
        <v>11</v>
      </c>
      <c r="B23" s="3">
        <f t="shared" si="4"/>
        <v>1.0999999999999999</v>
      </c>
      <c r="C23" s="3">
        <f t="shared" si="5"/>
        <v>4.563640325967409</v>
      </c>
      <c r="D23" s="3">
        <f t="shared" si="0"/>
        <v>4.6293140963998578</v>
      </c>
      <c r="E23" s="3">
        <f t="shared" si="1"/>
        <v>4.7454883083054993</v>
      </c>
      <c r="F23" s="3">
        <f t="shared" si="2"/>
        <v>0.1818479823380903</v>
      </c>
    </row>
    <row r="24" spans="1:6" x14ac:dyDescent="0.25">
      <c r="A24" s="3">
        <f t="shared" si="3"/>
        <v>12</v>
      </c>
      <c r="B24" s="3">
        <f t="shared" si="4"/>
        <v>1.2</v>
      </c>
      <c r="C24" s="3">
        <f t="shared" si="5"/>
        <v>5.0265717356073951</v>
      </c>
      <c r="D24" s="3">
        <f t="shared" si="0"/>
        <v>4.6186969337418358</v>
      </c>
      <c r="E24" s="3">
        <f t="shared" si="1"/>
        <v>5.2074954221676872</v>
      </c>
      <c r="F24" s="3">
        <f t="shared" si="2"/>
        <v>0.18092368656029212</v>
      </c>
    </row>
    <row r="25" spans="1:6" x14ac:dyDescent="0.25">
      <c r="A25" s="3">
        <f t="shared" si="3"/>
        <v>13</v>
      </c>
      <c r="B25" s="3">
        <f t="shared" si="4"/>
        <v>1.3</v>
      </c>
      <c r="C25" s="3">
        <f t="shared" si="5"/>
        <v>5.4884414289815791</v>
      </c>
      <c r="D25" s="3">
        <f t="shared" si="0"/>
        <v>4.5804816363683241</v>
      </c>
      <c r="E25" s="3">
        <f t="shared" si="1"/>
        <v>5.665992344872385</v>
      </c>
      <c r="F25" s="3">
        <f t="shared" si="2"/>
        <v>0.17755091589080596</v>
      </c>
    </row>
    <row r="26" spans="1:6" x14ac:dyDescent="0.25">
      <c r="A26" s="3">
        <f t="shared" si="3"/>
        <v>14</v>
      </c>
      <c r="B26" s="3">
        <f t="shared" si="4"/>
        <v>1.4000000000000001</v>
      </c>
      <c r="C26" s="3">
        <f t="shared" si="5"/>
        <v>5.9464895926184118</v>
      </c>
      <c r="D26" s="3">
        <f t="shared" si="0"/>
        <v>4.518350866478313</v>
      </c>
      <c r="E26" s="3">
        <f t="shared" si="1"/>
        <v>6.1185819227884837</v>
      </c>
      <c r="F26" s="3">
        <f t="shared" si="2"/>
        <v>0.17209233017007186</v>
      </c>
    </row>
    <row r="27" spans="1:6" x14ac:dyDescent="0.25">
      <c r="A27" s="3">
        <f t="shared" si="3"/>
        <v>15</v>
      </c>
      <c r="B27" s="3">
        <f t="shared" si="4"/>
        <v>1.5000000000000002</v>
      </c>
      <c r="C27" s="3">
        <f t="shared" si="5"/>
        <v>6.3983246792662429</v>
      </c>
      <c r="D27" s="3">
        <f t="shared" si="0"/>
        <v>4.4358202228941384</v>
      </c>
      <c r="E27" s="3">
        <f t="shared" si="1"/>
        <v>6.5632298752638647</v>
      </c>
      <c r="F27" s="3">
        <f t="shared" si="2"/>
        <v>0.16490519599762177</v>
      </c>
    </row>
    <row r="28" spans="1:6" x14ac:dyDescent="0.25">
      <c r="A28" s="3">
        <f t="shared" si="3"/>
        <v>16</v>
      </c>
      <c r="B28" s="3">
        <f t="shared" si="4"/>
        <v>1.6000000000000003</v>
      </c>
      <c r="C28" s="3">
        <f t="shared" si="5"/>
        <v>6.8419067015556569</v>
      </c>
      <c r="D28" s="3">
        <f t="shared" si="0"/>
        <v>4.3361858845825498</v>
      </c>
      <c r="E28" s="3">
        <f t="shared" si="1"/>
        <v>6.9982370036242934</v>
      </c>
      <c r="F28" s="3">
        <f t="shared" si="2"/>
        <v>0.15633030206863641</v>
      </c>
    </row>
    <row r="29" spans="1:6" x14ac:dyDescent="0.25">
      <c r="A29" s="3">
        <f t="shared" si="3"/>
        <v>17</v>
      </c>
      <c r="B29" s="3">
        <f t="shared" si="4"/>
        <v>1.7000000000000004</v>
      </c>
      <c r="C29" s="3">
        <f t="shared" si="5"/>
        <v>7.2755252900139116</v>
      </c>
      <c r="D29" s="3">
        <f t="shared" si="0"/>
        <v>4.2224923792987994</v>
      </c>
      <c r="E29" s="3">
        <f t="shared" si="1"/>
        <v>7.4222098230667539</v>
      </c>
      <c r="F29" s="3">
        <f t="shared" si="2"/>
        <v>0.14668453305284235</v>
      </c>
    </row>
    <row r="30" spans="1:6" x14ac:dyDescent="0.25">
      <c r="A30" s="3">
        <f t="shared" si="3"/>
        <v>18</v>
      </c>
      <c r="B30" s="3">
        <f t="shared" si="4"/>
        <v>1.8000000000000005</v>
      </c>
      <c r="C30" s="3">
        <f t="shared" si="5"/>
        <v>7.6977745279437917</v>
      </c>
      <c r="D30" s="3">
        <f t="shared" si="0"/>
        <v>4.0975158331011006</v>
      </c>
      <c r="E30" s="3">
        <f t="shared" si="1"/>
        <v>7.8340308498220992</v>
      </c>
      <c r="F30" s="3">
        <f t="shared" si="2"/>
        <v>0.1362563218783075</v>
      </c>
    </row>
    <row r="31" spans="1:6" x14ac:dyDescent="0.25">
      <c r="A31" s="3">
        <f t="shared" si="3"/>
        <v>19</v>
      </c>
      <c r="B31" s="3">
        <f t="shared" si="4"/>
        <v>1.9000000000000006</v>
      </c>
      <c r="C31" s="3">
        <f t="shared" si="5"/>
        <v>8.1075261112539021</v>
      </c>
      <c r="D31" s="3">
        <f t="shared" si="0"/>
        <v>3.9637588888003101</v>
      </c>
      <c r="E31" s="3">
        <f t="shared" si="1"/>
        <v>8.2328294266320885</v>
      </c>
      <c r="F31" s="3">
        <f t="shared" si="2"/>
        <v>0.1253033153781864</v>
      </c>
    </row>
    <row r="32" spans="1:6" x14ac:dyDescent="0.25">
      <c r="A32" s="3">
        <f t="shared" si="3"/>
        <v>20</v>
      </c>
      <c r="B32" s="3">
        <f t="shared" si="4"/>
        <v>2.0000000000000004</v>
      </c>
      <c r="C32" s="3">
        <f t="shared" si="5"/>
        <v>8.5039020001339338</v>
      </c>
      <c r="D32" s="3">
        <f t="shared" si="0"/>
        <v>3.8234542078095934</v>
      </c>
      <c r="E32" s="3">
        <f t="shared" si="1"/>
        <v>8.6179536998015607</v>
      </c>
      <c r="F32" s="3">
        <f t="shared" si="2"/>
        <v>0.11405169966762685</v>
      </c>
    </row>
    <row r="33" spans="1:6" x14ac:dyDescent="0.25">
      <c r="A33" s="3">
        <f t="shared" si="3"/>
        <v>21</v>
      </c>
      <c r="B33" s="3">
        <f t="shared" si="4"/>
        <v>2.1000000000000005</v>
      </c>
      <c r="C33" s="3">
        <f t="shared" si="5"/>
        <v>8.8862474209148932</v>
      </c>
      <c r="D33" s="3">
        <f t="shared" si="0"/>
        <v>3.6785740900466628</v>
      </c>
      <c r="E33" s="3">
        <f t="shared" si="1"/>
        <v>8.9889441543713247</v>
      </c>
      <c r="F33" s="3">
        <f t="shared" si="2"/>
        <v>0.10269673345643149</v>
      </c>
    </row>
    <row r="34" spans="1:6" x14ac:dyDescent="0.25">
      <c r="A34" s="3">
        <f t="shared" si="3"/>
        <v>22</v>
      </c>
      <c r="B34" s="3">
        <f t="shared" si="4"/>
        <v>2.2000000000000006</v>
      </c>
      <c r="C34" s="3">
        <f t="shared" si="5"/>
        <v>9.2541048299195587</v>
      </c>
      <c r="D34" s="3">
        <f t="shared" si="0"/>
        <v>3.5308442671711902</v>
      </c>
      <c r="E34" s="3">
        <f t="shared" si="1"/>
        <v>9.3455089570802095</v>
      </c>
      <c r="F34" s="3">
        <f t="shared" si="2"/>
        <v>9.1404127160650717E-2</v>
      </c>
    </row>
    <row r="35" spans="1:6" x14ac:dyDescent="0.25">
      <c r="A35" s="3">
        <f t="shared" si="3"/>
        <v>23</v>
      </c>
      <c r="B35" s="3">
        <f t="shared" si="4"/>
        <v>2.3000000000000007</v>
      </c>
      <c r="C35" s="3">
        <f t="shared" si="5"/>
        <v>9.6071892566366781</v>
      </c>
      <c r="D35" s="3">
        <f t="shared" si="0"/>
        <v>3.3817603555214468</v>
      </c>
      <c r="E35" s="3">
        <f t="shared" si="1"/>
        <v>9.6875012391391166</v>
      </c>
      <c r="F35" s="3">
        <f t="shared" si="2"/>
        <v>8.0311982502438539E-2</v>
      </c>
    </row>
    <row r="36" spans="1:6" x14ac:dyDescent="0.25">
      <c r="A36" s="3">
        <f t="shared" si="3"/>
        <v>24</v>
      </c>
      <c r="B36" s="3">
        <f t="shared" si="4"/>
        <v>2.4000000000000008</v>
      </c>
      <c r="C36" s="3">
        <f t="shared" si="5"/>
        <v>9.9453652921888231</v>
      </c>
      <c r="D36" s="3">
        <f t="shared" si="0"/>
        <v>3.2326058078578868</v>
      </c>
      <c r="E36" s="3">
        <f t="shared" si="1"/>
        <v>10.01489836394105</v>
      </c>
      <c r="F36" s="3">
        <f t="shared" si="2"/>
        <v>6.9533071752227116E-2</v>
      </c>
    </row>
    <row r="37" spans="1:6" x14ac:dyDescent="0.25">
      <c r="A37" s="3">
        <f t="shared" si="3"/>
        <v>25</v>
      </c>
      <c r="B37" s="3">
        <f t="shared" si="4"/>
        <v>2.5000000000000009</v>
      </c>
      <c r="C37" s="3">
        <f t="shared" si="5"/>
        <v>10.268625872974612</v>
      </c>
      <c r="D37" s="3">
        <f t="shared" si="0"/>
        <v>3.0844704886056995</v>
      </c>
      <c r="E37" s="3">
        <f t="shared" si="1"/>
        <v>10.32778316190408</v>
      </c>
      <c r="F37" s="3">
        <f t="shared" si="2"/>
        <v>5.9157288929467811E-2</v>
      </c>
    </row>
    <row r="38" spans="1:6" x14ac:dyDescent="0.25">
      <c r="A38" s="3">
        <f t="shared" si="3"/>
        <v>26</v>
      </c>
      <c r="B38" s="3">
        <f t="shared" si="4"/>
        <v>2.600000000000001</v>
      </c>
      <c r="C38" s="3">
        <f t="shared" si="5"/>
        <v>10.577072921835182</v>
      </c>
      <c r="D38" s="3">
        <f t="shared" si="0"/>
        <v>2.9382692261806405</v>
      </c>
      <c r="E38" s="3">
        <f t="shared" si="1"/>
        <v>10.626327070294584</v>
      </c>
      <c r="F38" s="3">
        <f t="shared" si="2"/>
        <v>4.9254148459402458E-2</v>
      </c>
    </row>
    <row r="39" spans="1:6" x14ac:dyDescent="0.25">
      <c r="A39" s="3">
        <f t="shared" si="3"/>
        <v>27</v>
      </c>
      <c r="B39" s="3">
        <f t="shared" si="4"/>
        <v>2.7000000000000011</v>
      </c>
      <c r="C39" s="3">
        <f t="shared" si="5"/>
        <v>10.870899844453247</v>
      </c>
      <c r="D39" s="3">
        <f t="shared" si="0"/>
        <v>2.7947598776136537</v>
      </c>
      <c r="E39" s="3">
        <f t="shared" si="1"/>
        <v>10.910775085821911</v>
      </c>
      <c r="F39" s="3">
        <f t="shared" si="2"/>
        <v>3.9875241368664049E-2</v>
      </c>
    </row>
    <row r="40" spans="1:6" x14ac:dyDescent="0.25">
      <c r="A40" s="3">
        <f t="shared" si="3"/>
        <v>28</v>
      </c>
      <c r="B40" s="3">
        <f t="shared" si="4"/>
        <v>2.8000000000000012</v>
      </c>
      <c r="C40" s="3">
        <f t="shared" si="5"/>
        <v>11.150375832214612</v>
      </c>
      <c r="D40" s="3">
        <f t="shared" si="0"/>
        <v>2.654560583333808</v>
      </c>
      <c r="E40" s="3">
        <f t="shared" si="1"/>
        <v>11.181432418640298</v>
      </c>
      <c r="F40" s="3">
        <f t="shared" si="2"/>
        <v>3.1056586425686206E-2</v>
      </c>
    </row>
    <row r="41" spans="1:6" x14ac:dyDescent="0.25">
      <c r="A41" s="3">
        <f t="shared" si="3"/>
        <v>29</v>
      </c>
      <c r="B41" s="3">
        <f t="shared" si="4"/>
        <v>2.9000000000000012</v>
      </c>
      <c r="C41" s="3">
        <f t="shared" si="5"/>
        <v>11.415831890547993</v>
      </c>
      <c r="D41" s="3">
        <f t="shared" si="0"/>
        <v>2.5181660007500639</v>
      </c>
      <c r="E41" s="3">
        <f t="shared" si="1"/>
        <v>11.438652725464253</v>
      </c>
      <c r="F41" s="3">
        <f t="shared" si="2"/>
        <v>2.2820834916259969E-2</v>
      </c>
    </row>
    <row r="42" spans="1:6" x14ac:dyDescent="0.25">
      <c r="A42" s="3">
        <f t="shared" si="3"/>
        <v>30</v>
      </c>
      <c r="B42" s="3">
        <f t="shared" si="4"/>
        <v>3.0000000000000013</v>
      </c>
      <c r="C42" s="3">
        <f t="shared" si="5"/>
        <v>11.667648490623</v>
      </c>
      <c r="D42" s="3">
        <f t="shared" si="0"/>
        <v>2.3859623902308478</v>
      </c>
      <c r="E42" s="3">
        <f t="shared" si="1"/>
        <v>11.682827794697335</v>
      </c>
      <c r="F42" s="3">
        <f t="shared" si="2"/>
        <v>1.517930407433532E-2</v>
      </c>
    </row>
    <row r="43" spans="1:6" x14ac:dyDescent="0.25">
      <c r="A43" s="3">
        <f t="shared" si="3"/>
        <v>31</v>
      </c>
      <c r="B43" s="3">
        <f t="shared" si="4"/>
        <v>3.1000000000000014</v>
      </c>
      <c r="C43" s="3">
        <f t="shared" si="5"/>
        <v>11.906244729646085</v>
      </c>
      <c r="D43" s="3">
        <f t="shared" si="0"/>
        <v>2.2582414912826714</v>
      </c>
      <c r="E43" s="3">
        <f t="shared" si="1"/>
        <v>11.914378556147474</v>
      </c>
      <c r="F43" s="3">
        <f t="shared" si="2"/>
        <v>8.1338265013890521E-3</v>
      </c>
    </row>
    <row r="44" spans="1:6" x14ac:dyDescent="0.25">
      <c r="A44" s="3">
        <f t="shared" si="3"/>
        <v>32</v>
      </c>
      <c r="B44" s="3">
        <f t="shared" si="4"/>
        <v>3.2000000000000015</v>
      </c>
      <c r="C44" s="3">
        <f t="shared" si="5"/>
        <v>12.132068878774351</v>
      </c>
      <c r="D44" s="3">
        <f t="shared" ref="D44:D75" si="6">$B$3*C44^(2/3)-$B$4*C44</f>
        <v>2.1352131743793805</v>
      </c>
      <c r="E44" s="3">
        <f t="shared" ref="E44:E75" si="7">( $B$8 + ($B$9-$B$8)*EXP(-$B$4*B44/3) )^3</f>
        <v>12.13374729077724</v>
      </c>
      <c r="F44" s="3">
        <f t="shared" ref="F44:F75" si="8">ABS(C44-E44)</f>
        <v>1.6784120028887628E-3</v>
      </c>
    </row>
    <row r="45" spans="1:6" x14ac:dyDescent="0.25">
      <c r="A45" s="3">
        <f t="shared" ref="A45:A76" si="9">A44+1</f>
        <v>33</v>
      </c>
      <c r="B45" s="3">
        <f t="shared" ref="B45:B76" si="10">B44+$B$6</f>
        <v>3.3000000000000016</v>
      </c>
      <c r="C45" s="3">
        <f t="shared" ref="C45:C76" si="11">C44+$B$6*D44</f>
        <v>12.345590196212289</v>
      </c>
      <c r="D45" s="3">
        <f t="shared" si="6"/>
        <v>2.0170168884547373</v>
      </c>
      <c r="E45" s="3">
        <f t="shared" si="7"/>
        <v>12.34139092102674</v>
      </c>
      <c r="F45" s="3">
        <f t="shared" si="8"/>
        <v>4.1992751855488564E-3</v>
      </c>
    </row>
    <row r="46" spans="1:6" x14ac:dyDescent="0.25">
      <c r="A46" s="3">
        <f t="shared" si="9"/>
        <v>34</v>
      </c>
      <c r="B46" s="3">
        <f t="shared" si="10"/>
        <v>3.4000000000000017</v>
      </c>
      <c r="C46" s="3">
        <f t="shared" si="11"/>
        <v>12.547291885057762</v>
      </c>
      <c r="D46" s="3">
        <f t="shared" si="6"/>
        <v>1.903731948370158</v>
      </c>
      <c r="E46" s="3">
        <f t="shared" si="7"/>
        <v>12.537775268794393</v>
      </c>
      <c r="F46" s="3">
        <f t="shared" si="8"/>
        <v>9.51661626336886E-3</v>
      </c>
    </row>
    <row r="47" spans="1:6" x14ac:dyDescent="0.25">
      <c r="A47" s="3">
        <f t="shared" si="9"/>
        <v>35</v>
      </c>
      <c r="B47" s="3">
        <f t="shared" si="10"/>
        <v>3.5000000000000018</v>
      </c>
      <c r="C47" s="3">
        <f t="shared" si="11"/>
        <v>12.737665079894777</v>
      </c>
      <c r="D47" s="3">
        <f t="shared" si="6"/>
        <v>1.7953867230026361</v>
      </c>
      <c r="E47" s="3">
        <f t="shared" si="7"/>
        <v>12.723370175592169</v>
      </c>
      <c r="F47" s="3">
        <f t="shared" si="8"/>
        <v>1.4294904302607492E-2</v>
      </c>
    </row>
    <row r="48" spans="1:6" x14ac:dyDescent="0.25">
      <c r="A48" s="3">
        <f t="shared" si="9"/>
        <v>36</v>
      </c>
      <c r="B48" s="3">
        <f t="shared" si="10"/>
        <v>3.6000000000000019</v>
      </c>
      <c r="C48" s="3">
        <f t="shared" si="11"/>
        <v>12.917203752195041</v>
      </c>
      <c r="D48" s="3">
        <f t="shared" si="6"/>
        <v>1.6919667948131476</v>
      </c>
      <c r="E48" s="3">
        <f t="shared" si="7"/>
        <v>12.89864538727611</v>
      </c>
      <c r="F48" s="3">
        <f t="shared" si="8"/>
        <v>1.8558364918931147E-2</v>
      </c>
    </row>
    <row r="49" spans="1:6" x14ac:dyDescent="0.25">
      <c r="A49" s="3">
        <f t="shared" si="9"/>
        <v>37</v>
      </c>
      <c r="B49" s="3">
        <f t="shared" si="10"/>
        <v>3.700000000000002</v>
      </c>
      <c r="C49" s="3">
        <f t="shared" si="11"/>
        <v>13.086400431676356</v>
      </c>
      <c r="D49" s="3">
        <f t="shared" si="6"/>
        <v>1.593422167335433</v>
      </c>
      <c r="E49" s="3">
        <f t="shared" si="7"/>
        <v>13.06406711377274</v>
      </c>
      <c r="F49" s="3">
        <f t="shared" si="8"/>
        <v>2.2333317903616035E-2</v>
      </c>
    </row>
    <row r="50" spans="1:6" x14ac:dyDescent="0.25">
      <c r="A50" s="3">
        <f t="shared" si="9"/>
        <v>38</v>
      </c>
      <c r="B50" s="3">
        <f t="shared" si="10"/>
        <v>3.800000000000002</v>
      </c>
      <c r="C50" s="3">
        <f t="shared" si="11"/>
        <v>13.2457426484099</v>
      </c>
      <c r="D50" s="3">
        <f t="shared" si="6"/>
        <v>1.4996735991449306</v>
      </c>
      <c r="E50" s="3">
        <f t="shared" si="7"/>
        <v>13.220095182146425</v>
      </c>
      <c r="F50" s="3">
        <f t="shared" si="8"/>
        <v>2.5647466263475138E-2</v>
      </c>
    </row>
    <row r="51" spans="1:6" x14ac:dyDescent="0.25">
      <c r="A51" s="3">
        <f t="shared" si="9"/>
        <v>39</v>
      </c>
      <c r="B51" s="3">
        <f t="shared" si="10"/>
        <v>3.9000000000000021</v>
      </c>
      <c r="C51" s="3">
        <f t="shared" si="11"/>
        <v>13.395710008324393</v>
      </c>
      <c r="D51" s="3">
        <f t="shared" si="6"/>
        <v>1.4106181424585671</v>
      </c>
      <c r="E51" s="3">
        <f t="shared" si="7"/>
        <v>13.367180709020195</v>
      </c>
      <c r="F51" s="3">
        <f t="shared" si="8"/>
        <v>2.8529299304198119E-2</v>
      </c>
    </row>
    <row r="52" spans="1:6" x14ac:dyDescent="0.25">
      <c r="A52" s="3">
        <f t="shared" si="9"/>
        <v>40</v>
      </c>
      <c r="B52" s="3">
        <f t="shared" si="10"/>
        <v>4.0000000000000018</v>
      </c>
      <c r="C52" s="3">
        <f t="shared" si="11"/>
        <v>13.53677182257025</v>
      </c>
      <c r="D52" s="3">
        <f t="shared" si="6"/>
        <v>1.3261339623059705</v>
      </c>
      <c r="E52" s="3">
        <f t="shared" si="7"/>
        <v>13.505764225663038</v>
      </c>
      <c r="F52" s="3">
        <f t="shared" si="8"/>
        <v>3.1007596907212331E-2</v>
      </c>
    </row>
    <row r="53" spans="1:6" x14ac:dyDescent="0.25">
      <c r="A53" s="3">
        <f t="shared" si="9"/>
        <v>41</v>
      </c>
      <c r="B53" s="3">
        <f t="shared" si="10"/>
        <v>4.1000000000000014</v>
      </c>
      <c r="C53" s="3">
        <f t="shared" si="11"/>
        <v>13.669385218800848</v>
      </c>
      <c r="D53" s="3">
        <f t="shared" si="6"/>
        <v>1.2460845087676979</v>
      </c>
      <c r="E53" s="3">
        <f t="shared" si="7"/>
        <v>13.636274195920459</v>
      </c>
      <c r="F53" s="3">
        <f t="shared" si="8"/>
        <v>3.3111022880389029E-2</v>
      </c>
    </row>
    <row r="54" spans="1:6" x14ac:dyDescent="0.25">
      <c r="A54" s="3">
        <f t="shared" si="9"/>
        <v>42</v>
      </c>
      <c r="B54" s="3">
        <f t="shared" si="10"/>
        <v>4.2000000000000011</v>
      </c>
      <c r="C54" s="3">
        <f t="shared" si="11"/>
        <v>13.793993669677617</v>
      </c>
      <c r="D54" s="3">
        <f t="shared" si="6"/>
        <v>1.1703221105308721</v>
      </c>
      <c r="E54" s="3">
        <f t="shared" si="7"/>
        <v>13.759125873552966</v>
      </c>
      <c r="F54" s="3">
        <f t="shared" si="8"/>
        <v>3.4867796124650852E-2</v>
      </c>
    </row>
    <row r="55" spans="1:6" x14ac:dyDescent="0.25">
      <c r="A55" s="3">
        <f t="shared" si="9"/>
        <v>43</v>
      </c>
      <c r="B55" s="3">
        <f t="shared" si="10"/>
        <v>4.3000000000000007</v>
      </c>
      <c r="C55" s="3">
        <f t="shared" si="11"/>
        <v>13.911025880730705</v>
      </c>
      <c r="D55" s="3">
        <f t="shared" si="6"/>
        <v>1.0986910532996106</v>
      </c>
      <c r="E55" s="3">
        <f t="shared" si="7"/>
        <v>13.874720451441632</v>
      </c>
      <c r="F55" s="3">
        <f t="shared" si="8"/>
        <v>3.6305429289072322E-2</v>
      </c>
    </row>
    <row r="56" spans="1:6" x14ac:dyDescent="0.25">
      <c r="A56" s="3">
        <f t="shared" si="9"/>
        <v>44</v>
      </c>
      <c r="B56" s="3">
        <f t="shared" si="10"/>
        <v>4.4000000000000004</v>
      </c>
      <c r="C56" s="3">
        <f t="shared" si="11"/>
        <v>14.020894986060666</v>
      </c>
      <c r="D56" s="3">
        <f t="shared" si="6"/>
        <v>1.0310302016629258</v>
      </c>
      <c r="E56" s="3">
        <f t="shared" si="7"/>
        <v>13.983444460520488</v>
      </c>
      <c r="F56" s="3">
        <f t="shared" si="8"/>
        <v>3.7450525540178248E-2</v>
      </c>
    </row>
    <row r="57" spans="1:6" x14ac:dyDescent="0.25">
      <c r="A57" s="3">
        <f t="shared" si="9"/>
        <v>45</v>
      </c>
      <c r="B57" s="3">
        <f t="shared" si="10"/>
        <v>4.5</v>
      </c>
      <c r="C57" s="3">
        <f t="shared" si="11"/>
        <v>14.123998006226959</v>
      </c>
      <c r="D57" s="3">
        <f t="shared" si="6"/>
        <v>0.96717521805125273</v>
      </c>
      <c r="E57" s="3">
        <f t="shared" si="7"/>
        <v>14.085669381214011</v>
      </c>
      <c r="F57" s="3">
        <f t="shared" si="8"/>
        <v>3.8328625012947981E-2</v>
      </c>
    </row>
    <row r="58" spans="1:6" x14ac:dyDescent="0.25">
      <c r="A58" s="3">
        <f t="shared" si="9"/>
        <v>46</v>
      </c>
      <c r="B58" s="3">
        <f t="shared" si="10"/>
        <v>4.5999999999999996</v>
      </c>
      <c r="C58" s="3">
        <f t="shared" si="11"/>
        <v>14.220715528032084</v>
      </c>
      <c r="D58" s="3">
        <f t="shared" si="6"/>
        <v>0.9069604275348766</v>
      </c>
      <c r="E58" s="3">
        <f t="shared" si="7"/>
        <v>14.181751434612906</v>
      </c>
      <c r="F58" s="3">
        <f t="shared" si="8"/>
        <v>3.896409341917817E-2</v>
      </c>
    </row>
    <row r="59" spans="1:6" x14ac:dyDescent="0.25">
      <c r="A59" s="3">
        <f t="shared" si="9"/>
        <v>47</v>
      </c>
      <c r="B59" s="3">
        <f t="shared" si="10"/>
        <v>4.6999999999999993</v>
      </c>
      <c r="C59" s="3">
        <f t="shared" si="11"/>
        <v>14.311411570785571</v>
      </c>
      <c r="D59" s="3">
        <f t="shared" si="6"/>
        <v>0.85022037252487692</v>
      </c>
      <c r="E59" s="3">
        <f t="shared" si="7"/>
        <v>14.272031524637974</v>
      </c>
      <c r="F59" s="3">
        <f t="shared" si="8"/>
        <v>3.938004614759727E-2</v>
      </c>
    </row>
    <row r="60" spans="1:6" x14ac:dyDescent="0.25">
      <c r="A60" s="3">
        <f t="shared" si="9"/>
        <v>48</v>
      </c>
      <c r="B60" s="3">
        <f t="shared" si="10"/>
        <v>4.7999999999999989</v>
      </c>
      <c r="C60" s="3">
        <f t="shared" si="11"/>
        <v>14.396433608038059</v>
      </c>
      <c r="D60" s="3">
        <f t="shared" si="6"/>
        <v>0.79679109699213058</v>
      </c>
      <c r="E60" s="3">
        <f t="shared" si="7"/>
        <v>14.356835306048318</v>
      </c>
      <c r="F60" s="3">
        <f t="shared" si="8"/>
        <v>3.9598301989741458E-2</v>
      </c>
    </row>
    <row r="61" spans="1:6" x14ac:dyDescent="0.25">
      <c r="A61" s="3">
        <f t="shared" si="9"/>
        <v>49</v>
      </c>
      <c r="B61" s="3">
        <f t="shared" si="10"/>
        <v>4.8999999999999986</v>
      </c>
      <c r="C61" s="3">
        <f t="shared" si="11"/>
        <v>14.476112717737273</v>
      </c>
      <c r="D61" s="3">
        <f t="shared" si="6"/>
        <v>0.746511195658627</v>
      </c>
      <c r="E61" s="3">
        <f t="shared" si="7"/>
        <v>14.436473356375718</v>
      </c>
      <c r="F61" s="3">
        <f t="shared" si="8"/>
        <v>3.9639361361555103E-2</v>
      </c>
    </row>
    <row r="62" spans="1:6" x14ac:dyDescent="0.25">
      <c r="A62" s="3">
        <f t="shared" si="9"/>
        <v>50</v>
      </c>
      <c r="B62" s="3">
        <f t="shared" si="10"/>
        <v>4.9999999999999982</v>
      </c>
      <c r="C62" s="3">
        <f t="shared" si="11"/>
        <v>14.550763837303135</v>
      </c>
      <c r="D62" s="3">
        <f t="shared" si="6"/>
        <v>0.69922265975866793</v>
      </c>
      <c r="E62" s="3">
        <f t="shared" si="7"/>
        <v>14.511241432742152</v>
      </c>
      <c r="F62" s="3">
        <f t="shared" si="8"/>
        <v>3.9522404560983659E-2</v>
      </c>
    </row>
    <row r="63" spans="1:6" x14ac:dyDescent="0.25">
      <c r="A63" s="3">
        <f t="shared" si="9"/>
        <v>51</v>
      </c>
      <c r="B63" s="3">
        <f t="shared" si="10"/>
        <v>5.0999999999999979</v>
      </c>
      <c r="C63" s="3">
        <f t="shared" si="11"/>
        <v>14.620686103279002</v>
      </c>
      <c r="D63" s="3">
        <f t="shared" si="6"/>
        <v>0.65477154742256616</v>
      </c>
      <c r="E63" s="3">
        <f t="shared" si="7"/>
        <v>14.58142079707237</v>
      </c>
      <c r="F63" s="3">
        <f t="shared" si="8"/>
        <v>3.9265306206631934E-2</v>
      </c>
    </row>
    <row r="64" spans="1:6" x14ac:dyDescent="0.25">
      <c r="A64" s="3">
        <f t="shared" si="9"/>
        <v>52</v>
      </c>
      <c r="B64" s="3">
        <f t="shared" si="10"/>
        <v>5.1999999999999975</v>
      </c>
      <c r="C64" s="3">
        <f t="shared" si="11"/>
        <v>14.686163258021258</v>
      </c>
      <c r="D64" s="3">
        <f t="shared" si="6"/>
        <v>0.61300850349892499</v>
      </c>
      <c r="E64" s="3">
        <f t="shared" si="7"/>
        <v>14.647278595476152</v>
      </c>
      <c r="F64" s="3">
        <f t="shared" si="8"/>
        <v>3.8884662545106252E-2</v>
      </c>
    </row>
    <row r="65" spans="1:6" x14ac:dyDescent="0.25">
      <c r="A65" s="3">
        <f t="shared" si="9"/>
        <v>53</v>
      </c>
      <c r="B65" s="3">
        <f t="shared" si="10"/>
        <v>5.2999999999999972</v>
      </c>
      <c r="C65" s="3">
        <f t="shared" si="11"/>
        <v>14.747464108371151</v>
      </c>
      <c r="D65" s="3">
        <f t="shared" si="6"/>
        <v>0.57378915069487135</v>
      </c>
      <c r="E65" s="3">
        <f t="shared" si="7"/>
        <v>14.709068279574407</v>
      </c>
      <c r="F65" s="3">
        <f t="shared" si="8"/>
        <v>3.8395828796744524E-2</v>
      </c>
    </row>
    <row r="66" spans="1:6" x14ac:dyDescent="0.25">
      <c r="A66" s="3">
        <f t="shared" si="9"/>
        <v>54</v>
      </c>
      <c r="B66" s="3">
        <f t="shared" si="10"/>
        <v>5.3999999999999968</v>
      </c>
      <c r="C66" s="3">
        <f t="shared" si="11"/>
        <v>14.804843023440638</v>
      </c>
      <c r="D66" s="3">
        <f t="shared" si="6"/>
        <v>0.53697437126228564</v>
      </c>
      <c r="E66" s="3">
        <f t="shared" si="7"/>
        <v>14.767030059304211</v>
      </c>
      <c r="F66" s="3">
        <f t="shared" si="8"/>
        <v>3.781296413642643E-2</v>
      </c>
    </row>
    <row r="67" spans="1:6" x14ac:dyDescent="0.25">
      <c r="A67" s="3">
        <f t="shared" si="9"/>
        <v>55</v>
      </c>
      <c r="B67" s="3">
        <f t="shared" si="10"/>
        <v>5.4999999999999964</v>
      </c>
      <c r="C67" s="3">
        <f t="shared" si="11"/>
        <v>14.858540460566866</v>
      </c>
      <c r="D67" s="3">
        <f t="shared" si="6"/>
        <v>0.50243049607623647</v>
      </c>
      <c r="E67" s="3">
        <f t="shared" si="7"/>
        <v>14.821391378285281</v>
      </c>
      <c r="F67" s="3">
        <f t="shared" si="8"/>
        <v>3.7149082281585422E-2</v>
      </c>
    </row>
    <row r="68" spans="1:6" x14ac:dyDescent="0.25">
      <c r="A68" s="3">
        <f t="shared" si="9"/>
        <v>56</v>
      </c>
      <c r="B68" s="3">
        <f t="shared" si="10"/>
        <v>5.5999999999999961</v>
      </c>
      <c r="C68" s="3">
        <f t="shared" si="11"/>
        <v>14.908783510174489</v>
      </c>
      <c r="D68" s="3">
        <f t="shared" si="6"/>
        <v>0.47002941581937918</v>
      </c>
      <c r="E68" s="3">
        <f t="shared" si="7"/>
        <v>14.872367404186756</v>
      </c>
      <c r="F68" s="3">
        <f t="shared" si="8"/>
        <v>3.641610598773326E-2</v>
      </c>
    </row>
    <row r="69" spans="1:6" x14ac:dyDescent="0.25">
      <c r="A69" s="3">
        <f t="shared" si="9"/>
        <v>57</v>
      </c>
      <c r="B69" s="3">
        <f t="shared" si="10"/>
        <v>5.6999999999999957</v>
      </c>
      <c r="C69" s="3">
        <f t="shared" si="11"/>
        <v>14.955786451756428</v>
      </c>
      <c r="D69" s="3">
        <f t="shared" si="6"/>
        <v>0.43964862708585883</v>
      </c>
      <c r="E69" s="3">
        <f t="shared" si="7"/>
        <v>14.920161527718387</v>
      </c>
      <c r="F69" s="3">
        <f t="shared" si="8"/>
        <v>3.5624924038041073E-2</v>
      </c>
    </row>
    <row r="70" spans="1:6" x14ac:dyDescent="0.25">
      <c r="A70" s="3">
        <f t="shared" si="9"/>
        <v>58</v>
      </c>
      <c r="B70" s="3">
        <f t="shared" si="10"/>
        <v>5.7999999999999954</v>
      </c>
      <c r="C70" s="3">
        <f t="shared" si="11"/>
        <v>14.999751314465014</v>
      </c>
      <c r="D70" s="3">
        <f t="shared" si="6"/>
        <v>0.41117122452883237</v>
      </c>
      <c r="E70" s="3">
        <f t="shared" si="7"/>
        <v>14.964965864903922</v>
      </c>
      <c r="F70" s="3">
        <f t="shared" si="8"/>
        <v>3.4785449561091752E-2</v>
      </c>
    </row>
    <row r="71" spans="1:6" x14ac:dyDescent="0.25">
      <c r="A71" s="3">
        <f t="shared" si="9"/>
        <v>59</v>
      </c>
      <c r="B71" s="3">
        <f t="shared" si="10"/>
        <v>5.899999999999995</v>
      </c>
      <c r="C71" s="3">
        <f t="shared" si="11"/>
        <v>15.040868436917897</v>
      </c>
      <c r="D71" s="3">
        <f t="shared" si="6"/>
        <v>0.3844858486801499</v>
      </c>
      <c r="E71" s="3">
        <f t="shared" si="7"/>
        <v>15.006961758193153</v>
      </c>
      <c r="F71" s="3">
        <f t="shared" si="8"/>
        <v>3.3906678724743955E-2</v>
      </c>
    </row>
    <row r="72" spans="1:6" x14ac:dyDescent="0.25">
      <c r="A72" s="3">
        <f t="shared" si="9"/>
        <v>60</v>
      </c>
      <c r="B72" s="3">
        <f t="shared" si="10"/>
        <v>5.9999999999999947</v>
      </c>
      <c r="C72" s="3">
        <f t="shared" si="11"/>
        <v>15.079317021785911</v>
      </c>
      <c r="D72" s="3">
        <f t="shared" si="6"/>
        <v>0.35948659774896896</v>
      </c>
      <c r="E72" s="3">
        <f t="shared" si="7"/>
        <v>15.04632027274876</v>
      </c>
      <c r="F72" s="3">
        <f t="shared" si="8"/>
        <v>3.2996749037151218E-2</v>
      </c>
    </row>
    <row r="73" spans="1:6" x14ac:dyDescent="0.25">
      <c r="A73" s="3">
        <f t="shared" si="9"/>
        <v>61</v>
      </c>
      <c r="B73" s="3">
        <f t="shared" si="10"/>
        <v>6.0999999999999943</v>
      </c>
      <c r="C73" s="3">
        <f t="shared" si="11"/>
        <v>15.115265681560809</v>
      </c>
      <c r="D73" s="3">
        <f t="shared" si="6"/>
        <v>0.33607291054238786</v>
      </c>
      <c r="E73" s="3">
        <f t="shared" si="7"/>
        <v>15.0832026849179</v>
      </c>
      <c r="F73" s="3">
        <f t="shared" si="8"/>
        <v>3.2062996642908459E-2</v>
      </c>
    </row>
    <row r="74" spans="1:6" x14ac:dyDescent="0.25">
      <c r="A74" s="3">
        <f t="shared" si="9"/>
        <v>62</v>
      </c>
      <c r="B74" s="3">
        <f t="shared" si="10"/>
        <v>6.199999999999994</v>
      </c>
      <c r="C74" s="3">
        <f t="shared" si="11"/>
        <v>15.148872972615047</v>
      </c>
      <c r="D74" s="3">
        <f t="shared" si="6"/>
        <v>0.31414942662899037</v>
      </c>
      <c r="E74" s="3">
        <f t="shared" si="7"/>
        <v>15.117760960479842</v>
      </c>
      <c r="F74" s="3">
        <f t="shared" si="8"/>
        <v>3.1112012135205092E-2</v>
      </c>
    </row>
    <row r="75" spans="1:6" x14ac:dyDescent="0.25">
      <c r="A75" s="3">
        <f t="shared" si="9"/>
        <v>63</v>
      </c>
      <c r="B75" s="3">
        <f t="shared" si="10"/>
        <v>6.2999999999999936</v>
      </c>
      <c r="C75" s="3">
        <f t="shared" si="11"/>
        <v>15.180287915277946</v>
      </c>
      <c r="D75" s="3">
        <f t="shared" si="6"/>
        <v>0.29362582896986211</v>
      </c>
      <c r="E75" s="3">
        <f t="shared" si="7"/>
        <v>15.150138220760516</v>
      </c>
      <c r="F75" s="3">
        <f t="shared" si="8"/>
        <v>3.0149694517429992E-2</v>
      </c>
    </row>
    <row r="76" spans="1:6" x14ac:dyDescent="0.25">
      <c r="A76" s="3">
        <f t="shared" si="9"/>
        <v>64</v>
      </c>
      <c r="B76" s="3">
        <f t="shared" si="10"/>
        <v>6.3999999999999932</v>
      </c>
      <c r="C76" s="3">
        <f t="shared" si="11"/>
        <v>15.209650498174932</v>
      </c>
      <c r="D76" s="3">
        <f t="shared" ref="D76:D107" si="12">$B$3*C76^(2/3)-$B$4*C76</f>
        <v>0.27441667345897613</v>
      </c>
      <c r="E76" s="3">
        <f t="shared" ref="E76:E112" si="13">( $B$8 + ($B$9-$B$8)*EXP(-$B$4*B76/3) )^3</f>
        <v>15.180469195132551</v>
      </c>
      <c r="F76" s="3">
        <f t="shared" ref="F76:F107" si="14">ABS(C76-E76)</f>
        <v>2.9181303042381757E-2</v>
      </c>
    </row>
    <row r="77" spans="1:6" x14ac:dyDescent="0.25">
      <c r="A77" s="3">
        <f t="shared" ref="A77:A112" si="15">A76+1</f>
        <v>65</v>
      </c>
      <c r="B77" s="3">
        <f t="shared" ref="B77:B112" si="16">B76+$B$6</f>
        <v>6.4999999999999929</v>
      </c>
      <c r="C77" s="3">
        <f t="shared" ref="C77:C112" si="17">C76+$B$6*D76</f>
        <v>15.23709216552083</v>
      </c>
      <c r="D77" s="3">
        <f t="shared" si="12"/>
        <v>0.2564412091316477</v>
      </c>
      <c r="E77" s="3">
        <f t="shared" si="13"/>
        <v>15.208880658784741</v>
      </c>
      <c r="F77" s="3">
        <f t="shared" si="14"/>
        <v>2.821150673608841E-2</v>
      </c>
    </row>
    <row r="78" spans="1:6" x14ac:dyDescent="0.25">
      <c r="A78" s="3">
        <f t="shared" si="15"/>
        <v>66</v>
      </c>
      <c r="B78" s="3">
        <f t="shared" si="16"/>
        <v>6.5999999999999925</v>
      </c>
      <c r="C78" s="3">
        <f t="shared" si="17"/>
        <v>15.262736286433995</v>
      </c>
      <c r="D78" s="3">
        <f t="shared" si="12"/>
        <v>0.23962319220577655</v>
      </c>
      <c r="E78" s="3">
        <f t="shared" si="13"/>
        <v>15.235491854954777</v>
      </c>
      <c r="F78" s="3">
        <f t="shared" si="14"/>
        <v>2.7244431479218179E-2</v>
      </c>
    </row>
    <row r="79" spans="1:6" x14ac:dyDescent="0.25">
      <c r="A79" s="3">
        <f t="shared" si="15"/>
        <v>67</v>
      </c>
      <c r="B79" s="3">
        <f t="shared" si="16"/>
        <v>6.6999999999999922</v>
      </c>
      <c r="C79" s="3">
        <f t="shared" si="17"/>
        <v>15.286698605654573</v>
      </c>
      <c r="D79" s="3">
        <f t="shared" si="12"/>
        <v>0.22389069660538752</v>
      </c>
      <c r="E79" s="3">
        <f t="shared" si="13"/>
        <v>15.260414901082068</v>
      </c>
      <c r="F79" s="3">
        <f t="shared" si="14"/>
        <v>2.6283704572504618E-2</v>
      </c>
    </row>
    <row r="80" spans="1:6" x14ac:dyDescent="0.25">
      <c r="A80" s="3">
        <f t="shared" si="15"/>
        <v>68</v>
      </c>
      <c r="B80" s="3">
        <f t="shared" si="16"/>
        <v>6.7999999999999918</v>
      </c>
      <c r="C80" s="3">
        <f t="shared" si="17"/>
        <v>15.309087675315112</v>
      </c>
      <c r="D80" s="3">
        <f t="shared" si="12"/>
        <v>0.2091759231694823</v>
      </c>
      <c r="E80" s="3">
        <f t="shared" si="13"/>
        <v>15.283755178557684</v>
      </c>
      <c r="F80" s="3">
        <f t="shared" si="14"/>
        <v>2.5332496757428657E-2</v>
      </c>
    </row>
    <row r="81" spans="1:6" x14ac:dyDescent="0.25">
      <c r="A81" s="3">
        <f t="shared" si="15"/>
        <v>69</v>
      </c>
      <c r="B81" s="3">
        <f t="shared" si="16"/>
        <v>6.8999999999999915</v>
      </c>
      <c r="C81" s="3">
        <f t="shared" si="17"/>
        <v>15.33000526763206</v>
      </c>
      <c r="D81" s="3">
        <f t="shared" si="12"/>
        <v>0.19541500936412248</v>
      </c>
      <c r="E81" s="3">
        <f t="shared" si="13"/>
        <v>15.305611705933714</v>
      </c>
      <c r="F81" s="3">
        <f t="shared" si="14"/>
        <v>2.4393561698346389E-2</v>
      </c>
    </row>
    <row r="82" spans="1:6" x14ac:dyDescent="0.25">
      <c r="A82" s="3">
        <f t="shared" si="15"/>
        <v>70</v>
      </c>
      <c r="B82" s="3">
        <f t="shared" si="16"/>
        <v>6.9999999999999911</v>
      </c>
      <c r="C82" s="3">
        <f t="shared" si="17"/>
        <v>15.349546768568473</v>
      </c>
      <c r="D82" s="3">
        <f t="shared" si="12"/>
        <v>0.18254784098413523</v>
      </c>
      <c r="E82" s="3">
        <f t="shared" si="13"/>
        <v>15.326077495607297</v>
      </c>
      <c r="F82" s="3">
        <f t="shared" si="14"/>
        <v>2.3469272961175847E-2</v>
      </c>
    </row>
    <row r="83" spans="1:6" x14ac:dyDescent="0.25">
      <c r="A83" s="3">
        <f t="shared" si="15"/>
        <v>71</v>
      </c>
      <c r="B83" s="3">
        <f t="shared" si="16"/>
        <v>7.0999999999999908</v>
      </c>
      <c r="C83" s="3">
        <f t="shared" si="17"/>
        <v>15.367801552666887</v>
      </c>
      <c r="D83" s="3">
        <f t="shared" si="12"/>
        <v>0.17051786704580607</v>
      </c>
      <c r="E83" s="3">
        <f t="shared" si="13"/>
        <v>15.345239894121203</v>
      </c>
      <c r="F83" s="3">
        <f t="shared" si="14"/>
        <v>2.2561658545683372E-2</v>
      </c>
    </row>
    <row r="84" spans="1:6" x14ac:dyDescent="0.25">
      <c r="A84" s="3">
        <f t="shared" si="15"/>
        <v>72</v>
      </c>
      <c r="B84" s="3">
        <f t="shared" si="16"/>
        <v>7.1999999999999904</v>
      </c>
      <c r="C84" s="3">
        <f t="shared" si="17"/>
        <v>15.384853339371467</v>
      </c>
      <c r="D84" s="3">
        <f t="shared" si="12"/>
        <v>0.15927191882829916</v>
      </c>
      <c r="E84" s="3">
        <f t="shared" si="13"/>
        <v>15.363180906325558</v>
      </c>
      <c r="F84" s="3">
        <f t="shared" si="14"/>
        <v>2.1672433045909045E-2</v>
      </c>
    </row>
    <row r="85" spans="1:6" x14ac:dyDescent="0.25">
      <c r="A85" s="3">
        <f t="shared" si="15"/>
        <v>73</v>
      </c>
      <c r="B85" s="3">
        <f t="shared" si="16"/>
        <v>7.2999999999999901</v>
      </c>
      <c r="C85" s="3">
        <f t="shared" si="17"/>
        <v>15.400780531254297</v>
      </c>
      <c r="D85" s="3">
        <f t="shared" si="12"/>
        <v>0.14876003381367653</v>
      </c>
      <c r="E85" s="3">
        <f t="shared" si="13"/>
        <v>15.379977503728551</v>
      </c>
      <c r="F85" s="3">
        <f t="shared" si="14"/>
        <v>2.0803027525746032E-2</v>
      </c>
    </row>
    <row r="86" spans="1:6" x14ac:dyDescent="0.25">
      <c r="A86" s="3">
        <f t="shared" si="15"/>
        <v>74</v>
      </c>
      <c r="B86" s="3">
        <f t="shared" si="16"/>
        <v>7.3999999999999897</v>
      </c>
      <c r="C86" s="3">
        <f t="shared" si="17"/>
        <v>15.415656534635664</v>
      </c>
      <c r="D86" s="3">
        <f t="shared" si="12"/>
        <v>0.13893528509843378</v>
      </c>
      <c r="E86" s="3">
        <f t="shared" si="13"/>
        <v>15.395701917429385</v>
      </c>
      <c r="F86" s="3">
        <f t="shared" si="14"/>
        <v>1.9954617206279224E-2</v>
      </c>
    </row>
    <row r="87" spans="1:6" x14ac:dyDescent="0.25">
      <c r="A87" s="3">
        <f t="shared" si="15"/>
        <v>75</v>
      </c>
      <c r="B87" s="3">
        <f t="shared" si="16"/>
        <v>7.4999999999999893</v>
      </c>
      <c r="C87" s="3">
        <f t="shared" si="17"/>
        <v>15.429550063145507</v>
      </c>
      <c r="D87" s="3">
        <f t="shared" si="12"/>
        <v>0.12975361669988672</v>
      </c>
      <c r="E87" s="3">
        <f t="shared" si="13"/>
        <v>15.410421916078052</v>
      </c>
      <c r="F87" s="3">
        <f t="shared" si="14"/>
        <v>1.9128147067455359E-2</v>
      </c>
    </row>
    <row r="88" spans="1:6" x14ac:dyDescent="0.25">
      <c r="A88" s="3">
        <f t="shared" si="15"/>
        <v>76</v>
      </c>
      <c r="B88" s="3">
        <f t="shared" si="16"/>
        <v>7.599999999999989</v>
      </c>
      <c r="C88" s="3">
        <f t="shared" si="17"/>
        <v>15.442525424815496</v>
      </c>
      <c r="D88" s="3">
        <f t="shared" si="12"/>
        <v>0.12117368505460746</v>
      </c>
      <c r="E88" s="3">
        <f t="shared" si="13"/>
        <v>15.424201069344832</v>
      </c>
      <c r="F88" s="3">
        <f t="shared" si="14"/>
        <v>1.8324355470664244E-2</v>
      </c>
    </row>
    <row r="89" spans="1:6" x14ac:dyDescent="0.25">
      <c r="A89" s="3">
        <f t="shared" si="15"/>
        <v>77</v>
      </c>
      <c r="B89" s="3">
        <f t="shared" si="16"/>
        <v>7.6999999999999886</v>
      </c>
      <c r="C89" s="3">
        <f t="shared" si="17"/>
        <v>15.454642793320957</v>
      </c>
      <c r="D89" s="3">
        <f t="shared" si="12"/>
        <v>0.11315670690024504</v>
      </c>
      <c r="E89" s="3">
        <f t="shared" si="13"/>
        <v>15.437098997410546</v>
      </c>
      <c r="F89" s="3">
        <f t="shared" si="14"/>
        <v>1.754379591041122E-2</v>
      </c>
    </row>
    <row r="90" spans="1:6" x14ac:dyDescent="0.25">
      <c r="A90" s="3">
        <f t="shared" si="15"/>
        <v>78</v>
      </c>
      <c r="B90" s="3">
        <f t="shared" si="16"/>
        <v>7.7999999999999883</v>
      </c>
      <c r="C90" s="3">
        <f t="shared" si="17"/>
        <v>15.465958464010981</v>
      </c>
      <c r="D90" s="3">
        <f t="shared" si="12"/>
        <v>0.10566631364392265</v>
      </c>
      <c r="E90" s="3">
        <f t="shared" si="13"/>
        <v>15.449171607007274</v>
      </c>
      <c r="F90" s="3">
        <f t="shared" si="14"/>
        <v>1.6786857003706857E-2</v>
      </c>
    </row>
    <row r="91" spans="1:6" x14ac:dyDescent="0.25">
      <c r="A91" s="3">
        <f t="shared" si="15"/>
        <v>79</v>
      </c>
      <c r="B91" s="3">
        <f t="shared" si="16"/>
        <v>7.8999999999999879</v>
      </c>
      <c r="C91" s="3">
        <f t="shared" si="17"/>
        <v>15.476525095375374</v>
      </c>
      <c r="D91" s="3">
        <f t="shared" si="12"/>
        <v>9.8668412247164383E-2</v>
      </c>
      <c r="E91" s="3">
        <f t="shared" si="13"/>
        <v>15.460471314550997</v>
      </c>
      <c r="F91" s="3">
        <f t="shared" si="14"/>
        <v>1.6053780824377029E-2</v>
      </c>
    </row>
    <row r="92" spans="1:6" x14ac:dyDescent="0.25">
      <c r="A92" s="3">
        <f t="shared" si="15"/>
        <v>80</v>
      </c>
      <c r="B92" s="3">
        <f t="shared" si="16"/>
        <v>7.9999999999999876</v>
      </c>
      <c r="C92" s="3">
        <f t="shared" si="17"/>
        <v>15.486391936600091</v>
      </c>
      <c r="D92" s="3">
        <f t="shared" si="12"/>
        <v>9.2131052597576257E-2</v>
      </c>
      <c r="E92" s="3">
        <f t="shared" si="13"/>
        <v>15.471047256912549</v>
      </c>
      <c r="F92" s="3">
        <f t="shared" si="14"/>
        <v>1.5344679687542495E-2</v>
      </c>
    </row>
    <row r="93" spans="1:6" x14ac:dyDescent="0.25">
      <c r="A93" s="3">
        <f t="shared" si="15"/>
        <v>81</v>
      </c>
      <c r="B93" s="3">
        <f t="shared" si="16"/>
        <v>8.0999999999999872</v>
      </c>
      <c r="C93" s="3">
        <f t="shared" si="17"/>
        <v>15.495605041859848</v>
      </c>
      <c r="D93" s="3">
        <f t="shared" si="12"/>
        <v>8.6024301288343707E-2</v>
      </c>
      <c r="E93" s="3">
        <f t="shared" si="13"/>
        <v>15.480945490373243</v>
      </c>
      <c r="F93" s="3">
        <f t="shared" si="14"/>
        <v>1.4659551486605693E-2</v>
      </c>
    </row>
    <row r="94" spans="1:6" x14ac:dyDescent="0.25">
      <c r="A94" s="3">
        <f t="shared" si="15"/>
        <v>82</v>
      </c>
      <c r="B94" s="3">
        <f t="shared" si="16"/>
        <v>8.1999999999999869</v>
      </c>
      <c r="C94" s="3">
        <f t="shared" si="17"/>
        <v>15.504207471988682</v>
      </c>
      <c r="D94" s="3">
        <f t="shared" si="12"/>
        <v>8.0320121687542212E-2</v>
      </c>
      <c r="E94" s="3">
        <f t="shared" si="13"/>
        <v>15.490209178307323</v>
      </c>
      <c r="F94" s="3">
        <f t="shared" si="14"/>
        <v>1.3998293681359186E-2</v>
      </c>
    </row>
    <row r="95" spans="1:6" x14ac:dyDescent="0.25">
      <c r="A95" s="3">
        <f t="shared" si="15"/>
        <v>83</v>
      </c>
      <c r="B95" s="3">
        <f t="shared" si="16"/>
        <v>8.2999999999999865</v>
      </c>
      <c r="C95" s="3">
        <f t="shared" si="17"/>
        <v>15.512239484157437</v>
      </c>
      <c r="D95" s="3">
        <f t="shared" si="12"/>
        <v>7.4992260148142975E-2</v>
      </c>
      <c r="E95" s="3">
        <f t="shared" si="13"/>
        <v>15.498878768125154</v>
      </c>
      <c r="F95" s="3">
        <f t="shared" si="14"/>
        <v>1.3360716032282838E-2</v>
      </c>
    </row>
    <row r="96" spans="1:6" x14ac:dyDescent="0.25">
      <c r="A96" s="3">
        <f t="shared" si="15"/>
        <v>84</v>
      </c>
      <c r="B96" s="3">
        <f t="shared" si="16"/>
        <v>8.3999999999999861</v>
      </c>
      <c r="C96" s="3">
        <f t="shared" si="17"/>
        <v>15.519738710172252</v>
      </c>
      <c r="D96" s="3">
        <f t="shared" si="12"/>
        <v>7.0016138185248877E-2</v>
      </c>
      <c r="E96" s="3">
        <f t="shared" si="13"/>
        <v>15.506992158001045</v>
      </c>
      <c r="F96" s="3">
        <f t="shared" si="14"/>
        <v>1.274655217120646E-2</v>
      </c>
    </row>
    <row r="97" spans="1:6" x14ac:dyDescent="0.25">
      <c r="A97" s="3">
        <f t="shared" si="15"/>
        <v>85</v>
      </c>
      <c r="B97" s="3">
        <f t="shared" si="16"/>
        <v>8.4999999999999858</v>
      </c>
      <c r="C97" s="3">
        <f t="shared" si="17"/>
        <v>15.526740323990778</v>
      </c>
      <c r="D97" s="3">
        <f t="shared" si="12"/>
        <v>6.5368750428888234E-2</v>
      </c>
      <c r="E97" s="3">
        <f t="shared" si="13"/>
        <v>15.514584853895897</v>
      </c>
      <c r="F97" s="3">
        <f t="shared" si="14"/>
        <v>1.2155470094880272E-2</v>
      </c>
    </row>
    <row r="98" spans="1:6" x14ac:dyDescent="0.25">
      <c r="A98" s="3">
        <f t="shared" si="15"/>
        <v>86</v>
      </c>
      <c r="B98" s="3">
        <f t="shared" si="16"/>
        <v>8.5999999999999854</v>
      </c>
      <c r="C98" s="3">
        <f t="shared" si="17"/>
        <v>15.533277199033666</v>
      </c>
      <c r="D98" s="3">
        <f t="shared" si="12"/>
        <v>6.1028568147651896E-2</v>
      </c>
      <c r="E98" s="3">
        <f t="shared" si="13"/>
        <v>15.521690117371001</v>
      </c>
      <c r="F98" s="3">
        <f t="shared" si="14"/>
        <v>1.1587081662664644E-2</v>
      </c>
    </row>
    <row r="99" spans="1:6" x14ac:dyDescent="0.25">
      <c r="A99" s="3">
        <f t="shared" si="15"/>
        <v>87</v>
      </c>
      <c r="B99" s="3">
        <f t="shared" si="16"/>
        <v>8.6999999999999851</v>
      </c>
      <c r="C99" s="3">
        <f t="shared" si="17"/>
        <v>15.539380055848431</v>
      </c>
      <c r="D99" s="3">
        <f t="shared" si="12"/>
        <v>5.6975448128508077E-2</v>
      </c>
      <c r="E99" s="3">
        <f t="shared" si="13"/>
        <v>15.528339104672883</v>
      </c>
      <c r="F99" s="3">
        <f t="shared" si="14"/>
        <v>1.1040951175548486E-2</v>
      </c>
    </row>
    <row r="100" spans="1:6" x14ac:dyDescent="0.25">
      <c r="A100" s="3">
        <f t="shared" si="15"/>
        <v>88</v>
      </c>
      <c r="B100" s="3">
        <f t="shared" si="16"/>
        <v>8.7999999999999847</v>
      </c>
      <c r="C100" s="3">
        <f t="shared" si="17"/>
        <v>15.545077600661282</v>
      </c>
      <c r="D100" s="3">
        <f t="shared" si="12"/>
        <v>5.3190546693603125E-2</v>
      </c>
      <c r="E100" s="3">
        <f t="shared" si="13"/>
        <v>15.534560997552372</v>
      </c>
      <c r="F100" s="3">
        <f t="shared" si="14"/>
        <v>1.051660310890945E-2</v>
      </c>
    </row>
    <row r="101" spans="1:6" x14ac:dyDescent="0.25">
      <c r="A101" s="3">
        <f t="shared" si="15"/>
        <v>89</v>
      </c>
      <c r="B101" s="3">
        <f t="shared" si="16"/>
        <v>8.8999999999999844</v>
      </c>
      <c r="C101" s="3">
        <f t="shared" si="17"/>
        <v>15.550396655330642</v>
      </c>
      <c r="D101" s="3">
        <f t="shared" si="12"/>
        <v>4.9656238630817029E-2</v>
      </c>
      <c r="E101" s="3">
        <f t="shared" si="13"/>
        <v>15.540383126263624</v>
      </c>
      <c r="F101" s="3">
        <f t="shared" si="14"/>
        <v>1.0013529067018467E-2</v>
      </c>
    </row>
    <row r="102" spans="1:6" x14ac:dyDescent="0.25">
      <c r="A102" s="3">
        <f t="shared" si="15"/>
        <v>90</v>
      </c>
      <c r="B102" s="3">
        <f t="shared" si="16"/>
        <v>8.999999999999984</v>
      </c>
      <c r="C102" s="3">
        <f t="shared" si="17"/>
        <v>15.555362279193725</v>
      </c>
      <c r="D102" s="3">
        <f t="shared" si="12"/>
        <v>4.6356040815521027E-2</v>
      </c>
      <c r="E102" s="3">
        <f t="shared" si="13"/>
        <v>15.545831085170796</v>
      </c>
      <c r="F102" s="3">
        <f t="shared" si="14"/>
        <v>9.5311940229283465E-3</v>
      </c>
    </row>
    <row r="103" spans="1:6" x14ac:dyDescent="0.25">
      <c r="A103" s="3">
        <f t="shared" si="15"/>
        <v>91</v>
      </c>
      <c r="B103" s="3">
        <f t="shared" si="16"/>
        <v>9.0999999999999837</v>
      </c>
      <c r="C103" s="3">
        <f t="shared" si="17"/>
        <v>15.559997883275276</v>
      </c>
      <c r="D103" s="3">
        <f t="shared" si="12"/>
        <v>4.3274540301695197E-2</v>
      </c>
      <c r="E103" s="3">
        <f t="shared" si="13"/>
        <v>15.550928841371995</v>
      </c>
      <c r="F103" s="3">
        <f t="shared" si="14"/>
        <v>9.069041903281061E-3</v>
      </c>
    </row>
    <row r="104" spans="1:6" x14ac:dyDescent="0.25">
      <c r="A104" s="3">
        <f t="shared" si="15"/>
        <v>92</v>
      </c>
      <c r="B104" s="3">
        <f t="shared" si="16"/>
        <v>9.1999999999999833</v>
      </c>
      <c r="C104" s="3">
        <f t="shared" si="17"/>
        <v>15.564325337305446</v>
      </c>
      <c r="D104" s="3">
        <f t="shared" si="12"/>
        <v>4.039732666437601E-2</v>
      </c>
      <c r="E104" s="3">
        <f t="shared" si="13"/>
        <v>15.555698836732091</v>
      </c>
      <c r="F104" s="3">
        <f t="shared" si="14"/>
        <v>8.6265005733547895E-3</v>
      </c>
    </row>
    <row r="105" spans="1:6" x14ac:dyDescent="0.25">
      <c r="A105" s="3">
        <f t="shared" si="15"/>
        <v>93</v>
      </c>
      <c r="B105" s="3">
        <f t="shared" si="16"/>
        <v>9.2999999999999829</v>
      </c>
      <c r="C105" s="3">
        <f t="shared" si="17"/>
        <v>15.568365069971884</v>
      </c>
      <c r="D105" s="3">
        <f t="shared" si="12"/>
        <v>3.7710928379354414E-2</v>
      </c>
      <c r="E105" s="3">
        <f t="shared" si="13"/>
        <v>15.560162083697909</v>
      </c>
      <c r="F105" s="3">
        <f t="shared" si="14"/>
        <v>8.2029862739751991E-3</v>
      </c>
    </row>
    <row r="106" spans="1:6" x14ac:dyDescent="0.25">
      <c r="A106" s="3">
        <f t="shared" si="15"/>
        <v>94</v>
      </c>
      <c r="B106" s="3">
        <f t="shared" si="16"/>
        <v>9.3999999999999826</v>
      </c>
      <c r="C106" s="3">
        <f t="shared" si="17"/>
        <v>15.572136162809819</v>
      </c>
      <c r="D106" s="3">
        <f t="shared" si="12"/>
        <v>3.5202753031484235E-2</v>
      </c>
      <c r="E106" s="3">
        <f t="shared" si="13"/>
        <v>15.564338255251814</v>
      </c>
      <c r="F106" s="3">
        <f t="shared" si="14"/>
        <v>7.79790755800569E-3</v>
      </c>
    </row>
    <row r="107" spans="1:6" x14ac:dyDescent="0.25">
      <c r="A107" s="3">
        <f t="shared" si="15"/>
        <v>95</v>
      </c>
      <c r="B107" s="3">
        <f t="shared" si="16"/>
        <v>9.4999999999999822</v>
      </c>
      <c r="C107" s="3">
        <f t="shared" si="17"/>
        <v>15.575656438112969</v>
      </c>
      <c r="D107" s="3">
        <f t="shared" si="12"/>
        <v>3.2861031149508335E-2</v>
      </c>
      <c r="E107" s="3">
        <f t="shared" si="13"/>
        <v>15.568245769341987</v>
      </c>
      <c r="F107" s="3">
        <f t="shared" si="14"/>
        <v>7.4106687709818431E-3</v>
      </c>
    </row>
    <row r="108" spans="1:6" x14ac:dyDescent="0.25">
      <c r="A108" s="3">
        <f t="shared" si="15"/>
        <v>96</v>
      </c>
      <c r="B108" s="3">
        <f t="shared" si="16"/>
        <v>9.5999999999999819</v>
      </c>
      <c r="C108" s="3">
        <f t="shared" si="17"/>
        <v>15.578942541227919</v>
      </c>
      <c r="D108" s="3">
        <f t="shared" ref="D108:D139" si="18">$B$3*C108^(2/3)-$B$4*C108</f>
        <v>3.0674763471473909E-2</v>
      </c>
      <c r="E108" s="3">
        <f t="shared" si="13"/>
        <v>15.571901868111267</v>
      </c>
      <c r="F108" s="3">
        <f t="shared" ref="F108:F139" si="19">ABS(C108-E108)</f>
        <v>7.0406731166521297E-3</v>
      </c>
    </row>
    <row r="109" spans="1:6" x14ac:dyDescent="0.25">
      <c r="A109" s="3">
        <f t="shared" si="15"/>
        <v>97</v>
      </c>
      <c r="B109" s="3">
        <f t="shared" si="16"/>
        <v>9.6999999999999815</v>
      </c>
      <c r="C109" s="3">
        <f t="shared" si="17"/>
        <v>15.582010017575067</v>
      </c>
      <c r="D109" s="3">
        <f t="shared" si="18"/>
        <v>2.8633671452347187E-2</v>
      </c>
      <c r="E109" s="3">
        <f t="shared" si="13"/>
        <v>15.575322692229461</v>
      </c>
      <c r="F109" s="3">
        <f t="shared" si="19"/>
        <v>6.687325345605899E-3</v>
      </c>
    </row>
    <row r="110" spans="1:6" x14ac:dyDescent="0.25">
      <c r="A110" s="3">
        <f t="shared" si="15"/>
        <v>98</v>
      </c>
      <c r="B110" s="3">
        <f t="shared" si="16"/>
        <v>9.7999999999999812</v>
      </c>
      <c r="C110" s="3">
        <f t="shared" si="17"/>
        <v>15.584873384720302</v>
      </c>
      <c r="D110" s="3">
        <f t="shared" si="18"/>
        <v>2.672815083288782E-2</v>
      </c>
      <c r="E110" s="3">
        <f t="shared" si="13"/>
        <v>15.578523350618523</v>
      </c>
      <c r="F110" s="3">
        <f t="shared" si="19"/>
        <v>6.35003410177859E-3</v>
      </c>
    </row>
    <row r="111" spans="1:6" x14ac:dyDescent="0.25">
      <c r="A111" s="3">
        <f t="shared" si="15"/>
        <v>99</v>
      </c>
      <c r="B111" s="3">
        <f t="shared" si="16"/>
        <v>9.8999999999999808</v>
      </c>
      <c r="C111" s="3">
        <f t="shared" si="17"/>
        <v>15.58754619980359</v>
      </c>
      <c r="D111" s="3">
        <f t="shared" si="18"/>
        <v>2.4949228096019738E-2</v>
      </c>
      <c r="E111" s="3">
        <f t="shared" si="13"/>
        <v>15.581517985844471</v>
      </c>
      <c r="F111" s="3">
        <f t="shared" si="19"/>
        <v>6.028213959119455E-3</v>
      </c>
    </row>
    <row r="112" spans="1:6" x14ac:dyDescent="0.25">
      <c r="A112" s="3">
        <f t="shared" si="15"/>
        <v>100</v>
      </c>
      <c r="B112" s="3">
        <f t="shared" si="16"/>
        <v>9.9999999999999805</v>
      </c>
      <c r="C112" s="3">
        <f t="shared" si="17"/>
        <v>15.590041122613192</v>
      </c>
      <c r="D112" s="3">
        <f t="shared" si="18"/>
        <v>2.3288519645124239E-2</v>
      </c>
      <c r="E112" s="3">
        <f t="shared" si="13"/>
        <v>15.584319835435055</v>
      </c>
      <c r="F112" s="3">
        <f t="shared" si="19"/>
        <v>5.7212871781366914E-3</v>
      </c>
    </row>
    <row r="113" spans="1:6" x14ac:dyDescent="0.25">
      <c r="A113" s="3"/>
      <c r="B113" s="3"/>
      <c r="C113" s="3"/>
      <c r="D113" s="3"/>
      <c r="E113" s="3"/>
      <c r="F113" s="3"/>
    </row>
  </sheetData>
  <mergeCells count="1">
    <mergeCell ref="A1:F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3"/>
  <sheetViews>
    <sheetView tabSelected="1" workbookViewId="0">
      <selection sqref="A1:H1"/>
    </sheetView>
  </sheetViews>
  <sheetFormatPr baseColWidth="10" defaultColWidth="9.140625" defaultRowHeight="15" x14ac:dyDescent="0.25"/>
  <cols>
    <col min="1" max="1" width="17.7109375" customWidth="1"/>
    <col min="2" max="2" width="10" customWidth="1"/>
    <col min="3" max="3" width="16" customWidth="1"/>
    <col min="4" max="4" width="14" customWidth="1"/>
    <col min="5" max="5" width="16" customWidth="1"/>
    <col min="6" max="6" width="14" customWidth="1"/>
    <col min="7" max="7" width="16" customWidth="1"/>
    <col min="8" max="8" width="14" customWidth="1"/>
    <col min="10" max="10" width="10" customWidth="1"/>
    <col min="11" max="11" width="16" customWidth="1"/>
  </cols>
  <sheetData>
    <row r="1" spans="1:8" ht="21" x14ac:dyDescent="0.25">
      <c r="A1" s="7" t="s">
        <v>28</v>
      </c>
      <c r="B1" s="8"/>
      <c r="C1" s="8"/>
      <c r="D1" s="8"/>
      <c r="E1" s="8"/>
      <c r="F1" s="8"/>
      <c r="G1" s="8"/>
      <c r="H1" s="8"/>
    </row>
    <row r="3" spans="1:8" x14ac:dyDescent="0.25">
      <c r="A3" s="1" t="s">
        <v>20</v>
      </c>
      <c r="B3">
        <v>5</v>
      </c>
    </row>
    <row r="4" spans="1:8" x14ac:dyDescent="0.25">
      <c r="A4" s="1" t="s">
        <v>21</v>
      </c>
      <c r="B4">
        <v>2</v>
      </c>
    </row>
    <row r="5" spans="1:8" x14ac:dyDescent="0.25">
      <c r="A5" s="1" t="s">
        <v>22</v>
      </c>
      <c r="B5">
        <v>0.5</v>
      </c>
    </row>
    <row r="6" spans="1:8" x14ac:dyDescent="0.25">
      <c r="A6" s="1" t="s">
        <v>4</v>
      </c>
      <c r="B6">
        <v>0.1</v>
      </c>
    </row>
    <row r="7" spans="1:8" x14ac:dyDescent="0.25">
      <c r="A7" s="1" t="s">
        <v>5</v>
      </c>
      <c r="B7">
        <v>10</v>
      </c>
    </row>
    <row r="8" spans="1:8" x14ac:dyDescent="0.25">
      <c r="A8" s="1" t="s">
        <v>23</v>
      </c>
      <c r="B8">
        <f>B3/B4</f>
        <v>2.5</v>
      </c>
    </row>
    <row r="9" spans="1:8" x14ac:dyDescent="0.25">
      <c r="A9" s="1" t="s">
        <v>24</v>
      </c>
      <c r="B9">
        <f>B5^(1/3)</f>
        <v>0.79370052598409979</v>
      </c>
    </row>
    <row r="11" spans="1:8" x14ac:dyDescent="0.25">
      <c r="A11" s="6" t="s">
        <v>8</v>
      </c>
      <c r="B11" s="6" t="s">
        <v>9</v>
      </c>
      <c r="C11" s="6" t="s">
        <v>29</v>
      </c>
      <c r="D11" s="6" t="s">
        <v>30</v>
      </c>
      <c r="E11" s="6" t="s">
        <v>31</v>
      </c>
      <c r="F11" s="6" t="s">
        <v>32</v>
      </c>
      <c r="G11" s="6" t="s">
        <v>27</v>
      </c>
      <c r="H11" s="6" t="s">
        <v>13</v>
      </c>
    </row>
    <row r="12" spans="1:8" x14ac:dyDescent="0.25">
      <c r="A12" s="3">
        <v>0</v>
      </c>
      <c r="B12" s="3">
        <v>0</v>
      </c>
      <c r="C12" s="3">
        <f>B5</f>
        <v>0.5</v>
      </c>
      <c r="D12" s="3">
        <f t="shared" ref="D12:D43" si="0">$B$3*C12^(2/3)-$B$4*C12</f>
        <v>2.1498026247371831</v>
      </c>
      <c r="E12" s="3">
        <f t="shared" ref="E12:E43" si="1">C12+$B$6*D12</f>
        <v>0.71498026247371826</v>
      </c>
      <c r="F12" s="3">
        <f t="shared" ref="F12:F43" si="2">$B$3*E12^(2/3)-$B$4*E12</f>
        <v>2.567946650387122</v>
      </c>
      <c r="G12" s="3">
        <f t="shared" ref="G12:G43" si="3">( $B$8 + ($B$9-$B$8)*EXP(-$B$4*B12/3) )^3</f>
        <v>0.49999999999999989</v>
      </c>
      <c r="H12" s="3">
        <f t="shared" ref="H12:H43" si="4">ABS(C12-G12)</f>
        <v>1.1102230246251565E-16</v>
      </c>
    </row>
    <row r="13" spans="1:8" x14ac:dyDescent="0.25">
      <c r="A13" s="3">
        <f t="shared" ref="A13:A44" si="5">A12+1</f>
        <v>1</v>
      </c>
      <c r="B13" s="3">
        <f t="shared" ref="B13:B44" si="6">B12+$B$6</f>
        <v>0.1</v>
      </c>
      <c r="C13" s="3">
        <f t="shared" ref="C13:C44" si="7">C12+($B$6/2)*(D12+F12)</f>
        <v>0.73588746375621528</v>
      </c>
      <c r="D13" s="3">
        <f t="shared" si="0"/>
        <v>2.6036941976310617</v>
      </c>
      <c r="E13" s="3">
        <f t="shared" si="1"/>
        <v>0.99625688351932151</v>
      </c>
      <c r="F13" s="3">
        <f t="shared" si="2"/>
        <v>2.9950013812031617</v>
      </c>
      <c r="G13" s="3">
        <f t="shared" si="3"/>
        <v>0.73813808265171388</v>
      </c>
      <c r="H13" s="3">
        <f t="shared" si="4"/>
        <v>2.2506188954986017E-3</v>
      </c>
    </row>
    <row r="14" spans="1:8" x14ac:dyDescent="0.25">
      <c r="A14" s="3">
        <f t="shared" si="5"/>
        <v>2</v>
      </c>
      <c r="B14" s="3">
        <f t="shared" si="6"/>
        <v>0.2</v>
      </c>
      <c r="C14" s="3">
        <f t="shared" si="7"/>
        <v>1.0158222426979264</v>
      </c>
      <c r="D14" s="3">
        <f t="shared" si="0"/>
        <v>3.0209582130409891</v>
      </c>
      <c r="E14" s="3">
        <f t="shared" si="1"/>
        <v>1.3179180640020254</v>
      </c>
      <c r="F14" s="3">
        <f t="shared" si="2"/>
        <v>3.3744564181107646</v>
      </c>
      <c r="G14" s="3">
        <f t="shared" si="3"/>
        <v>1.0202113355183855</v>
      </c>
      <c r="H14" s="3">
        <f t="shared" si="4"/>
        <v>4.3890928204590729E-3</v>
      </c>
    </row>
    <row r="15" spans="1:8" x14ac:dyDescent="0.25">
      <c r="A15" s="3">
        <f t="shared" si="5"/>
        <v>3</v>
      </c>
      <c r="B15" s="3">
        <f t="shared" si="6"/>
        <v>0.30000000000000004</v>
      </c>
      <c r="C15" s="3">
        <f t="shared" si="7"/>
        <v>1.3355929742555142</v>
      </c>
      <c r="D15" s="3">
        <f t="shared" si="0"/>
        <v>3.3927241628507341</v>
      </c>
      <c r="E15" s="3">
        <f t="shared" si="1"/>
        <v>1.6748653905405875</v>
      </c>
      <c r="F15" s="3">
        <f t="shared" si="2"/>
        <v>3.7019061444758128</v>
      </c>
      <c r="G15" s="3">
        <f t="shared" si="3"/>
        <v>1.3419202622924504</v>
      </c>
      <c r="H15" s="3">
        <f t="shared" si="4"/>
        <v>6.3272880369362738E-3</v>
      </c>
    </row>
    <row r="16" spans="1:8" x14ac:dyDescent="0.25">
      <c r="A16" s="3">
        <f t="shared" si="5"/>
        <v>4</v>
      </c>
      <c r="B16" s="3">
        <f t="shared" si="6"/>
        <v>0.4</v>
      </c>
      <c r="C16" s="3">
        <f t="shared" si="7"/>
        <v>1.6903244896218415</v>
      </c>
      <c r="D16" s="3">
        <f t="shared" si="0"/>
        <v>3.714312797401901</v>
      </c>
      <c r="E16" s="3">
        <f t="shared" si="1"/>
        <v>2.0617557693620316</v>
      </c>
      <c r="F16" s="3">
        <f t="shared" si="2"/>
        <v>3.9760495133527449</v>
      </c>
      <c r="G16" s="3">
        <f t="shared" si="3"/>
        <v>1.6983497399004543</v>
      </c>
      <c r="H16" s="3">
        <f t="shared" si="4"/>
        <v>8.0252502786128943E-3</v>
      </c>
    </row>
    <row r="17" spans="1:8" x14ac:dyDescent="0.25">
      <c r="A17" s="3">
        <f t="shared" si="5"/>
        <v>5</v>
      </c>
      <c r="B17" s="3">
        <f t="shared" si="6"/>
        <v>0.5</v>
      </c>
      <c r="C17" s="3">
        <f t="shared" si="7"/>
        <v>2.0748426051595739</v>
      </c>
      <c r="D17" s="3">
        <f t="shared" si="0"/>
        <v>3.9841139110697066</v>
      </c>
      <c r="E17" s="3">
        <f t="shared" si="1"/>
        <v>2.4732539962665445</v>
      </c>
      <c r="F17" s="3">
        <f t="shared" si="2"/>
        <v>4.197764319402129</v>
      </c>
      <c r="G17" s="3">
        <f t="shared" si="3"/>
        <v>2.0843152107295784</v>
      </c>
      <c r="H17" s="3">
        <f t="shared" si="4"/>
        <v>9.4726055700045109E-3</v>
      </c>
    </row>
    <row r="18" spans="1:8" x14ac:dyDescent="0.25">
      <c r="A18" s="3">
        <f t="shared" si="5"/>
        <v>6</v>
      </c>
      <c r="B18" s="3">
        <f t="shared" si="6"/>
        <v>0.6</v>
      </c>
      <c r="C18" s="3">
        <f t="shared" si="7"/>
        <v>2.4839365166831655</v>
      </c>
      <c r="D18" s="3">
        <f t="shared" si="0"/>
        <v>4.2027110904097551</v>
      </c>
      <c r="E18" s="3">
        <f t="shared" si="1"/>
        <v>2.9042076257241409</v>
      </c>
      <c r="F18" s="3">
        <f t="shared" si="2"/>
        <v>4.3694128589823071</v>
      </c>
      <c r="G18" s="3">
        <f t="shared" si="3"/>
        <v>2.4946129371447663</v>
      </c>
      <c r="H18" s="3">
        <f t="shared" si="4"/>
        <v>1.0676420461600777E-2</v>
      </c>
    </row>
    <row r="19" spans="1:8" x14ac:dyDescent="0.25">
      <c r="A19" s="3">
        <f t="shared" si="5"/>
        <v>7</v>
      </c>
      <c r="B19" s="3">
        <f t="shared" si="6"/>
        <v>0.7</v>
      </c>
      <c r="C19" s="3">
        <f t="shared" si="7"/>
        <v>2.9125427141527687</v>
      </c>
      <c r="D19" s="3">
        <f t="shared" si="0"/>
        <v>4.3722069861863426</v>
      </c>
      <c r="E19" s="3">
        <f t="shared" si="1"/>
        <v>3.3497634127714031</v>
      </c>
      <c r="F19" s="3">
        <f t="shared" si="2"/>
        <v>4.4943217448191231</v>
      </c>
      <c r="G19" s="3">
        <f t="shared" si="3"/>
        <v>2.9241961025623375</v>
      </c>
      <c r="H19" s="3">
        <f t="shared" si="4"/>
        <v>1.1653388409568866E-2</v>
      </c>
    </row>
    <row r="20" spans="1:8" x14ac:dyDescent="0.25">
      <c r="A20" s="3">
        <f t="shared" si="5"/>
        <v>8</v>
      </c>
      <c r="B20" s="3">
        <f t="shared" si="6"/>
        <v>0.79999999999999993</v>
      </c>
      <c r="C20" s="3">
        <f t="shared" si="7"/>
        <v>3.3558691507030423</v>
      </c>
      <c r="D20" s="3">
        <f t="shared" si="0"/>
        <v>4.4957084351918279</v>
      </c>
      <c r="E20" s="3">
        <f t="shared" si="1"/>
        <v>3.8054399942222252</v>
      </c>
      <c r="F20" s="3">
        <f t="shared" si="2"/>
        <v>4.576394419722897</v>
      </c>
      <c r="G20" s="3">
        <f t="shared" si="3"/>
        <v>3.3682940298564517</v>
      </c>
      <c r="H20" s="3">
        <f t="shared" si="4"/>
        <v>1.2424879153409396E-2</v>
      </c>
    </row>
    <row r="21" spans="1:8" x14ac:dyDescent="0.25">
      <c r="A21" s="3">
        <f t="shared" si="5"/>
        <v>9</v>
      </c>
      <c r="B21" s="3">
        <f t="shared" si="6"/>
        <v>0.89999999999999991</v>
      </c>
      <c r="C21" s="3">
        <f t="shared" si="7"/>
        <v>3.8094742934487784</v>
      </c>
      <c r="D21" s="3">
        <f t="shared" si="0"/>
        <v>4.5769377782834146</v>
      </c>
      <c r="E21" s="3">
        <f t="shared" si="1"/>
        <v>4.2671680712771201</v>
      </c>
      <c r="F21" s="3">
        <f t="shared" si="2"/>
        <v>4.619825375446668</v>
      </c>
      <c r="G21" s="3">
        <f t="shared" si="3"/>
        <v>3.8224881640743189</v>
      </c>
      <c r="H21" s="3">
        <f t="shared" si="4"/>
        <v>1.3013870625540491E-2</v>
      </c>
    </row>
    <row r="22" spans="1:8" x14ac:dyDescent="0.25">
      <c r="A22" s="3">
        <f t="shared" si="5"/>
        <v>10</v>
      </c>
      <c r="B22" s="3">
        <f t="shared" si="6"/>
        <v>0.99999999999999989</v>
      </c>
      <c r="C22" s="3">
        <f t="shared" si="7"/>
        <v>4.2693124511352822</v>
      </c>
      <c r="D22" s="3">
        <f t="shared" si="0"/>
        <v>4.6199431536724411</v>
      </c>
      <c r="E22" s="3">
        <f t="shared" si="1"/>
        <v>4.7313067665025264</v>
      </c>
      <c r="F22" s="3">
        <f t="shared" si="2"/>
        <v>4.6288924502334421</v>
      </c>
      <c r="G22" s="3">
        <f t="shared" si="3"/>
        <v>4.2827555620548496</v>
      </c>
      <c r="H22" s="3">
        <f t="shared" si="4"/>
        <v>1.3443110919567403E-2</v>
      </c>
    </row>
    <row r="23" spans="1:8" x14ac:dyDescent="0.25">
      <c r="A23" s="3">
        <f t="shared" si="5"/>
        <v>11</v>
      </c>
      <c r="B23" s="3">
        <f t="shared" si="6"/>
        <v>1.0999999999999999</v>
      </c>
      <c r="C23" s="3">
        <f t="shared" si="7"/>
        <v>4.7317542313305765</v>
      </c>
      <c r="D23" s="3">
        <f t="shared" si="0"/>
        <v>4.6288859789852861</v>
      </c>
      <c r="E23" s="3">
        <f t="shared" si="1"/>
        <v>5.1946428292291049</v>
      </c>
      <c r="F23" s="3">
        <f t="shared" si="2"/>
        <v>4.6078089868504275</v>
      </c>
      <c r="G23" s="3">
        <f t="shared" si="3"/>
        <v>4.7454883083054993</v>
      </c>
      <c r="H23" s="3">
        <f t="shared" si="4"/>
        <v>1.3734076974922793E-2</v>
      </c>
    </row>
    <row r="24" spans="1:8" x14ac:dyDescent="0.25">
      <c r="A24" s="3">
        <f t="shared" si="5"/>
        <v>12</v>
      </c>
      <c r="B24" s="3">
        <f t="shared" si="6"/>
        <v>1.2</v>
      </c>
      <c r="C24" s="3">
        <f t="shared" si="7"/>
        <v>5.193588979622362</v>
      </c>
      <c r="D24" s="3">
        <f t="shared" si="0"/>
        <v>4.6078882865183317</v>
      </c>
      <c r="E24" s="3">
        <f t="shared" si="1"/>
        <v>5.6543778082741953</v>
      </c>
      <c r="F24" s="3">
        <f t="shared" si="2"/>
        <v>4.5606217129045898</v>
      </c>
      <c r="G24" s="3">
        <f t="shared" si="3"/>
        <v>5.2074954221676872</v>
      </c>
      <c r="H24" s="3">
        <f t="shared" si="4"/>
        <v>1.3906442545325248E-2</v>
      </c>
    </row>
    <row r="25" spans="1:8" x14ac:dyDescent="0.25">
      <c r="A25" s="3">
        <f t="shared" si="5"/>
        <v>13</v>
      </c>
      <c r="B25" s="3">
        <f t="shared" si="6"/>
        <v>1.3</v>
      </c>
      <c r="C25" s="3">
        <f t="shared" si="7"/>
        <v>5.6520144795935083</v>
      </c>
      <c r="D25" s="3">
        <f t="shared" si="0"/>
        <v>4.5609261722288092</v>
      </c>
      <c r="E25" s="3">
        <f t="shared" si="1"/>
        <v>6.1081070968163891</v>
      </c>
      <c r="F25" s="3">
        <f t="shared" si="2"/>
        <v>4.4911433377682624</v>
      </c>
      <c r="G25" s="3">
        <f t="shared" si="3"/>
        <v>5.665992344872385</v>
      </c>
      <c r="H25" s="3">
        <f t="shared" si="4"/>
        <v>1.3977865278876678E-2</v>
      </c>
    </row>
    <row r="26" spans="1:8" x14ac:dyDescent="0.25">
      <c r="A26" s="3">
        <f t="shared" si="5"/>
        <v>14</v>
      </c>
      <c r="B26" s="3">
        <f t="shared" si="6"/>
        <v>1.4000000000000001</v>
      </c>
      <c r="C26" s="3">
        <f t="shared" si="7"/>
        <v>6.1046179550933619</v>
      </c>
      <c r="D26" s="3">
        <f t="shared" si="0"/>
        <v>4.4917585053690487</v>
      </c>
      <c r="E26" s="3">
        <f t="shared" si="1"/>
        <v>6.5537938056302671</v>
      </c>
      <c r="F26" s="3">
        <f t="shared" si="2"/>
        <v>4.4029112924304172</v>
      </c>
      <c r="G26" s="3">
        <f t="shared" si="3"/>
        <v>6.1185819227884837</v>
      </c>
      <c r="H26" s="3">
        <f t="shared" si="4"/>
        <v>1.396396769512176E-2</v>
      </c>
    </row>
    <row r="27" spans="1:8" x14ac:dyDescent="0.25">
      <c r="A27" s="3">
        <f t="shared" si="5"/>
        <v>15</v>
      </c>
      <c r="B27" s="3">
        <f t="shared" si="6"/>
        <v>1.5000000000000002</v>
      </c>
      <c r="C27" s="3">
        <f t="shared" si="7"/>
        <v>6.5493514449833352</v>
      </c>
      <c r="D27" s="3">
        <f t="shared" si="0"/>
        <v>4.4038823539384886</v>
      </c>
      <c r="E27" s="3">
        <f t="shared" si="1"/>
        <v>6.9897396803771841</v>
      </c>
      <c r="F27" s="3">
        <f t="shared" si="2"/>
        <v>4.2991659396874162</v>
      </c>
      <c r="G27" s="3">
        <f t="shared" si="3"/>
        <v>6.5632298752638647</v>
      </c>
      <c r="H27" s="3">
        <f t="shared" si="4"/>
        <v>1.3878430280529486E-2</v>
      </c>
    </row>
    <row r="28" spans="1:8" x14ac:dyDescent="0.25">
      <c r="A28" s="3">
        <f t="shared" si="5"/>
        <v>16</v>
      </c>
      <c r="B28" s="3">
        <f t="shared" si="6"/>
        <v>1.6000000000000003</v>
      </c>
      <c r="C28" s="3">
        <f t="shared" si="7"/>
        <v>6.9845038596646303</v>
      </c>
      <c r="D28" s="3">
        <f t="shared" si="0"/>
        <v>4.300508422642638</v>
      </c>
      <c r="E28" s="3">
        <f t="shared" si="1"/>
        <v>7.4145547019288944</v>
      </c>
      <c r="F28" s="3">
        <f t="shared" si="2"/>
        <v>4.1828430741300444</v>
      </c>
      <c r="G28" s="3">
        <f t="shared" si="3"/>
        <v>6.9982370036242934</v>
      </c>
      <c r="H28" s="3">
        <f t="shared" si="4"/>
        <v>1.3733143959663074E-2</v>
      </c>
    </row>
    <row r="29" spans="1:8" x14ac:dyDescent="0.25">
      <c r="A29" s="3">
        <f t="shared" si="5"/>
        <v>17</v>
      </c>
      <c r="B29" s="3">
        <f t="shared" si="6"/>
        <v>1.7000000000000004</v>
      </c>
      <c r="C29" s="3">
        <f t="shared" si="7"/>
        <v>7.4086714345032645</v>
      </c>
      <c r="D29" s="3">
        <f t="shared" si="0"/>
        <v>4.1845512663070625</v>
      </c>
      <c r="E29" s="3">
        <f t="shared" si="1"/>
        <v>7.8271265611339711</v>
      </c>
      <c r="F29" s="3">
        <f t="shared" si="2"/>
        <v>4.0565767047295722</v>
      </c>
      <c r="G29" s="3">
        <f t="shared" si="3"/>
        <v>7.4222098230667539</v>
      </c>
      <c r="H29" s="3">
        <f t="shared" si="4"/>
        <v>1.3538388563489434E-2</v>
      </c>
    </row>
    <row r="30" spans="1:8" x14ac:dyDescent="0.25">
      <c r="A30" s="3">
        <f t="shared" si="5"/>
        <v>18</v>
      </c>
      <c r="B30" s="3">
        <f t="shared" si="6"/>
        <v>1.8000000000000005</v>
      </c>
      <c r="C30" s="3">
        <f t="shared" si="7"/>
        <v>7.8207278330550967</v>
      </c>
      <c r="D30" s="3">
        <f t="shared" si="0"/>
        <v>4.0586302069300118</v>
      </c>
      <c r="E30" s="3">
        <f t="shared" si="1"/>
        <v>8.2265908537480978</v>
      </c>
      <c r="F30" s="3">
        <f t="shared" si="2"/>
        <v>3.9227090360502217</v>
      </c>
      <c r="G30" s="3">
        <f t="shared" si="3"/>
        <v>7.8340308498220992</v>
      </c>
      <c r="H30" s="3">
        <f t="shared" si="4"/>
        <v>1.3303016767002518E-2</v>
      </c>
    </row>
    <row r="31" spans="1:8" x14ac:dyDescent="0.25">
      <c r="A31" s="3">
        <f t="shared" si="5"/>
        <v>19</v>
      </c>
      <c r="B31" s="3">
        <f t="shared" si="6"/>
        <v>1.9000000000000006</v>
      </c>
      <c r="C31" s="3">
        <f t="shared" si="7"/>
        <v>8.2197947952041091</v>
      </c>
      <c r="D31" s="3">
        <f t="shared" si="0"/>
        <v>3.9250778066472343</v>
      </c>
      <c r="E31" s="3">
        <f t="shared" si="1"/>
        <v>8.6123025758688332</v>
      </c>
      <c r="F31" s="3">
        <f t="shared" si="2"/>
        <v>3.7833052901095989</v>
      </c>
      <c r="G31" s="3">
        <f t="shared" si="3"/>
        <v>8.2328294266320885</v>
      </c>
      <c r="H31" s="3">
        <f t="shared" si="4"/>
        <v>1.3034631427979448E-2</v>
      </c>
    </row>
    <row r="32" spans="1:8" x14ac:dyDescent="0.25">
      <c r="A32" s="3">
        <f t="shared" si="5"/>
        <v>20</v>
      </c>
      <c r="B32" s="3">
        <f t="shared" si="6"/>
        <v>2.0000000000000004</v>
      </c>
      <c r="C32" s="3">
        <f t="shared" si="7"/>
        <v>8.60521395004195</v>
      </c>
      <c r="D32" s="3">
        <f t="shared" si="0"/>
        <v>3.7859534799985823</v>
      </c>
      <c r="E32" s="3">
        <f t="shared" si="1"/>
        <v>8.9838092980418089</v>
      </c>
      <c r="F32" s="3">
        <f t="shared" si="2"/>
        <v>3.6401715809330213</v>
      </c>
      <c r="G32" s="3">
        <f t="shared" si="3"/>
        <v>8.6179536998015607</v>
      </c>
      <c r="H32" s="3">
        <f t="shared" si="4"/>
        <v>1.2739749759610675E-2</v>
      </c>
    </row>
    <row r="33" spans="1:8" x14ac:dyDescent="0.25">
      <c r="A33" s="3">
        <f t="shared" si="5"/>
        <v>21</v>
      </c>
      <c r="B33" s="3">
        <f t="shared" si="6"/>
        <v>2.1000000000000005</v>
      </c>
      <c r="C33" s="3">
        <f t="shared" si="7"/>
        <v>8.9765202030885298</v>
      </c>
      <c r="D33" s="3">
        <f t="shared" si="0"/>
        <v>3.6430604057361506</v>
      </c>
      <c r="E33" s="3">
        <f t="shared" si="1"/>
        <v>9.3408262436621445</v>
      </c>
      <c r="F33" s="3">
        <f t="shared" si="2"/>
        <v>3.4948745003373034</v>
      </c>
      <c r="G33" s="3">
        <f t="shared" si="3"/>
        <v>8.9889441543713247</v>
      </c>
      <c r="H33" s="3">
        <f t="shared" si="4"/>
        <v>1.2423951282794832E-2</v>
      </c>
    </row>
    <row r="34" spans="1:8" x14ac:dyDescent="0.25">
      <c r="A34" s="3">
        <f t="shared" si="5"/>
        <v>22</v>
      </c>
      <c r="B34" s="3">
        <f t="shared" si="6"/>
        <v>2.2000000000000006</v>
      </c>
      <c r="C34" s="3">
        <f t="shared" si="7"/>
        <v>9.3334169483922018</v>
      </c>
      <c r="D34" s="3">
        <f t="shared" si="0"/>
        <v>3.4979643520812971</v>
      </c>
      <c r="E34" s="3">
        <f t="shared" si="1"/>
        <v>9.6832133836003322</v>
      </c>
      <c r="F34" s="3">
        <f t="shared" si="2"/>
        <v>3.3487614220752633</v>
      </c>
      <c r="G34" s="3">
        <f t="shared" si="3"/>
        <v>9.3455089570802095</v>
      </c>
      <c r="H34" s="3">
        <f t="shared" si="4"/>
        <v>1.2092008688007638E-2</v>
      </c>
    </row>
    <row r="35" spans="1:8" x14ac:dyDescent="0.25">
      <c r="A35" s="3">
        <f t="shared" si="5"/>
        <v>23</v>
      </c>
      <c r="B35" s="3">
        <f t="shared" si="6"/>
        <v>2.3000000000000007</v>
      </c>
      <c r="C35" s="3">
        <f t="shared" si="7"/>
        <v>9.6757532371000305</v>
      </c>
      <c r="D35" s="3">
        <f t="shared" si="0"/>
        <v>3.3520133847752867</v>
      </c>
      <c r="E35" s="3">
        <f t="shared" si="1"/>
        <v>10.010954575577559</v>
      </c>
      <c r="F35" s="3">
        <f t="shared" si="2"/>
        <v>3.2029808025108188</v>
      </c>
      <c r="G35" s="3">
        <f t="shared" si="3"/>
        <v>9.6875012391391166</v>
      </c>
      <c r="H35" s="3">
        <f t="shared" si="4"/>
        <v>1.1748002039086103E-2</v>
      </c>
    </row>
    <row r="36" spans="1:8" x14ac:dyDescent="0.25">
      <c r="A36" s="3">
        <f t="shared" si="5"/>
        <v>24</v>
      </c>
      <c r="B36" s="3">
        <f t="shared" si="6"/>
        <v>2.4000000000000008</v>
      </c>
      <c r="C36" s="3">
        <f t="shared" si="7"/>
        <v>10.003502946464335</v>
      </c>
      <c r="D36" s="3">
        <f t="shared" si="0"/>
        <v>3.2063577044976874</v>
      </c>
      <c r="E36" s="3">
        <f t="shared" si="1"/>
        <v>10.324138716914105</v>
      </c>
      <c r="F36" s="3">
        <f t="shared" si="2"/>
        <v>3.0585019656476113</v>
      </c>
      <c r="G36" s="3">
        <f t="shared" si="3"/>
        <v>10.01489836394105</v>
      </c>
      <c r="H36" s="3">
        <f t="shared" si="4"/>
        <v>1.1395417476714798E-2</v>
      </c>
    </row>
    <row r="37" spans="1:8" x14ac:dyDescent="0.25">
      <c r="A37" s="3">
        <f t="shared" si="5"/>
        <v>25</v>
      </c>
      <c r="B37" s="3">
        <f t="shared" si="6"/>
        <v>2.5000000000000009</v>
      </c>
      <c r="C37" s="3">
        <f t="shared" si="7"/>
        <v>10.316745929971601</v>
      </c>
      <c r="D37" s="3">
        <f t="shared" si="0"/>
        <v>3.0619690753061839</v>
      </c>
      <c r="E37" s="3">
        <f t="shared" si="1"/>
        <v>10.622942837502219</v>
      </c>
      <c r="F37" s="3">
        <f t="shared" si="2"/>
        <v>2.9161340214762319</v>
      </c>
      <c r="G37" s="3">
        <f t="shared" si="3"/>
        <v>10.32778316190408</v>
      </c>
      <c r="H37" s="3">
        <f t="shared" si="4"/>
        <v>1.103723193247852E-2</v>
      </c>
    </row>
    <row r="38" spans="1:8" x14ac:dyDescent="0.25">
      <c r="A38" s="3">
        <f t="shared" si="5"/>
        <v>26</v>
      </c>
      <c r="B38" s="3">
        <f t="shared" si="6"/>
        <v>2.600000000000001</v>
      </c>
      <c r="C38" s="3">
        <f t="shared" si="7"/>
        <v>10.615651084810722</v>
      </c>
      <c r="D38" s="3">
        <f t="shared" si="0"/>
        <v>2.9196594715509931</v>
      </c>
      <c r="E38" s="3">
        <f t="shared" si="1"/>
        <v>10.90761703196582</v>
      </c>
      <c r="F38" s="3">
        <f t="shared" si="2"/>
        <v>2.7765436894920867</v>
      </c>
      <c r="G38" s="3">
        <f t="shared" si="3"/>
        <v>10.626327070294584</v>
      </c>
      <c r="H38" s="3">
        <f t="shared" si="4"/>
        <v>1.0675985483862505E-2</v>
      </c>
    </row>
    <row r="39" spans="1:8" x14ac:dyDescent="0.25">
      <c r="A39" s="3">
        <f t="shared" si="5"/>
        <v>27</v>
      </c>
      <c r="B39" s="3">
        <f t="shared" si="6"/>
        <v>2.7000000000000011</v>
      </c>
      <c r="C39" s="3">
        <f t="shared" si="7"/>
        <v>10.900461242862876</v>
      </c>
      <c r="D39" s="3">
        <f t="shared" si="0"/>
        <v>2.7800986975446769</v>
      </c>
      <c r="E39" s="3">
        <f t="shared" si="1"/>
        <v>11.178471112617345</v>
      </c>
      <c r="F39" s="3">
        <f t="shared" si="2"/>
        <v>2.6402718920391699</v>
      </c>
      <c r="G39" s="3">
        <f t="shared" si="3"/>
        <v>10.910775085821911</v>
      </c>
      <c r="H39" s="3">
        <f t="shared" si="4"/>
        <v>1.0313842959034147E-2</v>
      </c>
    </row>
    <row r="40" spans="1:8" x14ac:dyDescent="0.25">
      <c r="A40" s="3">
        <f t="shared" si="5"/>
        <v>28</v>
      </c>
      <c r="B40" s="3">
        <f t="shared" si="6"/>
        <v>2.8000000000000012</v>
      </c>
      <c r="C40" s="3">
        <f t="shared" si="7"/>
        <v>11.171479772342069</v>
      </c>
      <c r="D40" s="3">
        <f t="shared" si="0"/>
        <v>2.6438308303674134</v>
      </c>
      <c r="E40" s="3">
        <f t="shared" si="1"/>
        <v>11.43586285537881</v>
      </c>
      <c r="F40" s="3">
        <f t="shared" si="2"/>
        <v>2.5077490513579015</v>
      </c>
      <c r="G40" s="3">
        <f t="shared" si="3"/>
        <v>11.181432418640298</v>
      </c>
      <c r="H40" s="3">
        <f t="shared" si="4"/>
        <v>9.9526462982293395E-3</v>
      </c>
    </row>
    <row r="41" spans="1:8" x14ac:dyDescent="0.25">
      <c r="A41" s="3">
        <f t="shared" si="5"/>
        <v>29</v>
      </c>
      <c r="B41" s="3">
        <f t="shared" si="6"/>
        <v>2.9000000000000012</v>
      </c>
      <c r="C41" s="3">
        <f t="shared" si="7"/>
        <v>11.429058766428335</v>
      </c>
      <c r="D41" s="3">
        <f t="shared" si="0"/>
        <v>2.5112894081478636</v>
      </c>
      <c r="E41" s="3">
        <f t="shared" si="1"/>
        <v>11.680187707243121</v>
      </c>
      <c r="F41" s="3">
        <f t="shared" si="2"/>
        <v>2.3793090750343033</v>
      </c>
      <c r="G41" s="3">
        <f t="shared" si="3"/>
        <v>11.438652725464253</v>
      </c>
      <c r="H41" s="3">
        <f t="shared" si="4"/>
        <v>9.5939590359179761E-3</v>
      </c>
    </row>
    <row r="42" spans="1:8" x14ac:dyDescent="0.25">
      <c r="A42" s="3">
        <f t="shared" si="5"/>
        <v>30</v>
      </c>
      <c r="B42" s="3">
        <f t="shared" si="6"/>
        <v>3.0000000000000013</v>
      </c>
      <c r="C42" s="3">
        <f t="shared" si="7"/>
        <v>11.673588690587444</v>
      </c>
      <c r="D42" s="3">
        <f t="shared" si="0"/>
        <v>2.3828113392328945</v>
      </c>
      <c r="E42" s="3">
        <f t="shared" si="1"/>
        <v>11.911869824510733</v>
      </c>
      <c r="F42" s="3">
        <f t="shared" si="2"/>
        <v>2.2552020510701816</v>
      </c>
      <c r="G42" s="3">
        <f t="shared" si="3"/>
        <v>11.682827794697335</v>
      </c>
      <c r="H42" s="3">
        <f t="shared" si="4"/>
        <v>9.2391041098913718E-3</v>
      </c>
    </row>
    <row r="43" spans="1:8" x14ac:dyDescent="0.25">
      <c r="A43" s="3">
        <f t="shared" si="5"/>
        <v>31</v>
      </c>
      <c r="B43" s="3">
        <f t="shared" si="6"/>
        <v>3.1000000000000014</v>
      </c>
      <c r="C43" s="3">
        <f t="shared" si="7"/>
        <v>11.905489360102598</v>
      </c>
      <c r="D43" s="3">
        <f t="shared" si="0"/>
        <v>2.2586495460320926</v>
      </c>
      <c r="E43" s="3">
        <f t="shared" si="1"/>
        <v>12.131354314705806</v>
      </c>
      <c r="F43" s="3">
        <f t="shared" si="2"/>
        <v>2.1356056992803047</v>
      </c>
      <c r="G43" s="3">
        <f t="shared" si="3"/>
        <v>11.914378556147474</v>
      </c>
      <c r="H43" s="3">
        <f t="shared" si="4"/>
        <v>8.8891960448762575E-3</v>
      </c>
    </row>
    <row r="44" spans="1:8" x14ac:dyDescent="0.25">
      <c r="A44" s="3">
        <f t="shared" si="5"/>
        <v>32</v>
      </c>
      <c r="B44" s="3">
        <f t="shared" si="6"/>
        <v>3.2000000000000015</v>
      </c>
      <c r="C44" s="3">
        <f t="shared" si="7"/>
        <v>12.125202122368218</v>
      </c>
      <c r="D44" s="3">
        <f t="shared" ref="D44:D75" si="8">$B$3*C44^(2/3)-$B$4*C44</f>
        <v>2.1389843843172045</v>
      </c>
      <c r="E44" s="3">
        <f t="shared" ref="E44:E75" si="9">C44+$B$6*D44</f>
        <v>12.339100560799938</v>
      </c>
      <c r="F44" s="3">
        <f t="shared" ref="F44:F75" si="10">$B$3*E44^(2/3)-$B$4*E44</f>
        <v>2.0206356427483172</v>
      </c>
      <c r="G44" s="3">
        <f t="shared" ref="G44:G75" si="11">( $B$8 + ($B$9-$B$8)*EXP(-$B$4*B44/3) )^3</f>
        <v>12.13374729077724</v>
      </c>
      <c r="H44" s="3">
        <f t="shared" ref="H44:H75" si="12">ABS(C44-G44)</f>
        <v>8.5451684090216418E-3</v>
      </c>
    </row>
    <row r="45" spans="1:8" x14ac:dyDescent="0.25">
      <c r="A45" s="3">
        <f t="shared" ref="A45:A76" si="13">A44+1</f>
        <v>33</v>
      </c>
      <c r="B45" s="3">
        <f t="shared" ref="B45:B76" si="14">B44+$B$6</f>
        <v>3.3000000000000016</v>
      </c>
      <c r="C45" s="3">
        <f t="shared" ref="C45:C76" si="15">C44+($B$6/2)*(D44+F44)</f>
        <v>12.333183123721495</v>
      </c>
      <c r="D45" s="3">
        <f t="shared" si="8"/>
        <v>2.0239338970085576</v>
      </c>
      <c r="E45" s="3">
        <f t="shared" si="9"/>
        <v>12.535576513422351</v>
      </c>
      <c r="F45" s="3">
        <f t="shared" si="10"/>
        <v>1.9103545736725138</v>
      </c>
      <c r="G45" s="3">
        <f t="shared" si="11"/>
        <v>12.34139092102674</v>
      </c>
      <c r="H45" s="3">
        <f t="shared" si="12"/>
        <v>8.2077973052445685E-3</v>
      </c>
    </row>
    <row r="46" spans="1:8" x14ac:dyDescent="0.25">
      <c r="A46" s="3">
        <f t="shared" si="13"/>
        <v>34</v>
      </c>
      <c r="B46" s="3">
        <f t="shared" si="14"/>
        <v>3.4000000000000017</v>
      </c>
      <c r="C46" s="3">
        <f t="shared" si="15"/>
        <v>12.529897547255549</v>
      </c>
      <c r="D46" s="3">
        <f t="shared" si="8"/>
        <v>1.9135629730713006</v>
      </c>
      <c r="E46" s="3">
        <f t="shared" si="9"/>
        <v>12.72125384456268</v>
      </c>
      <c r="F46" s="3">
        <f t="shared" si="10"/>
        <v>1.8047803937027247</v>
      </c>
      <c r="G46" s="3">
        <f t="shared" si="11"/>
        <v>12.537775268794393</v>
      </c>
      <c r="H46" s="3">
        <f t="shared" si="12"/>
        <v>7.877721538843474E-3</v>
      </c>
    </row>
    <row r="47" spans="1:8" x14ac:dyDescent="0.25">
      <c r="A47" s="3">
        <f t="shared" si="13"/>
        <v>35</v>
      </c>
      <c r="B47" s="3">
        <f t="shared" si="14"/>
        <v>3.5000000000000018</v>
      </c>
      <c r="C47" s="3">
        <f t="shared" si="15"/>
        <v>12.71581471559425</v>
      </c>
      <c r="D47" s="3">
        <f t="shared" si="8"/>
        <v>1.8078914887148017</v>
      </c>
      <c r="E47" s="3">
        <f t="shared" si="9"/>
        <v>12.89660386446573</v>
      </c>
      <c r="F47" s="3">
        <f t="shared" si="10"/>
        <v>1.7038934110635928</v>
      </c>
      <c r="G47" s="3">
        <f t="shared" si="11"/>
        <v>12.723370175592169</v>
      </c>
      <c r="H47" s="3">
        <f t="shared" si="12"/>
        <v>7.5554599979188453E-3</v>
      </c>
    </row>
    <row r="48" spans="1:8" x14ac:dyDescent="0.25">
      <c r="A48" s="3">
        <f t="shared" si="13"/>
        <v>36</v>
      </c>
      <c r="B48" s="3">
        <f t="shared" si="14"/>
        <v>3.6000000000000019</v>
      </c>
      <c r="C48" s="3">
        <f t="shared" si="15"/>
        <v>12.891403960583171</v>
      </c>
      <c r="D48" s="3">
        <f t="shared" si="8"/>
        <v>1.7069015109238634</v>
      </c>
      <c r="E48" s="3">
        <f t="shared" si="9"/>
        <v>13.062094111675558</v>
      </c>
      <c r="F48" s="3">
        <f t="shared" si="10"/>
        <v>1.607642676351805</v>
      </c>
      <c r="G48" s="3">
        <f t="shared" si="11"/>
        <v>12.89864538727611</v>
      </c>
      <c r="H48" s="3">
        <f t="shared" si="12"/>
        <v>7.2414266929392568E-3</v>
      </c>
    </row>
    <row r="49" spans="1:8" x14ac:dyDescent="0.25">
      <c r="A49" s="3">
        <f t="shared" si="13"/>
        <v>37</v>
      </c>
      <c r="B49" s="3">
        <f t="shared" si="14"/>
        <v>3.700000000000002</v>
      </c>
      <c r="C49" s="3">
        <f t="shared" si="15"/>
        <v>13.057131169946954</v>
      </c>
      <c r="D49" s="3">
        <f t="shared" si="8"/>
        <v>1.6105436434574898</v>
      </c>
      <c r="E49" s="3">
        <f t="shared" si="9"/>
        <v>13.218185534292703</v>
      </c>
      <c r="F49" s="3">
        <f t="shared" si="10"/>
        <v>1.5159515366427136</v>
      </c>
      <c r="G49" s="3">
        <f t="shared" si="11"/>
        <v>13.06406711377274</v>
      </c>
      <c r="H49" s="3">
        <f t="shared" si="12"/>
        <v>6.9359438257858841E-3</v>
      </c>
    </row>
    <row r="50" spans="1:8" x14ac:dyDescent="0.25">
      <c r="A50" s="3">
        <f t="shared" si="13"/>
        <v>38</v>
      </c>
      <c r="B50" s="3">
        <f t="shared" si="14"/>
        <v>3.800000000000002</v>
      </c>
      <c r="C50" s="3">
        <f t="shared" si="15"/>
        <v>13.213455928951964</v>
      </c>
      <c r="D50" s="3">
        <f t="shared" si="8"/>
        <v>1.5187425936075094</v>
      </c>
      <c r="E50" s="3">
        <f t="shared" si="9"/>
        <v>13.365330188312715</v>
      </c>
      <c r="F50" s="3">
        <f t="shared" si="10"/>
        <v>1.4287224840271868</v>
      </c>
      <c r="G50" s="3">
        <f t="shared" si="11"/>
        <v>13.220095182146425</v>
      </c>
      <c r="H50" s="3">
        <f t="shared" si="12"/>
        <v>6.6392531944607924E-3</v>
      </c>
    </row>
    <row r="51" spans="1:8" x14ac:dyDescent="0.25">
      <c r="A51" s="3">
        <f t="shared" si="13"/>
        <v>39</v>
      </c>
      <c r="B51" s="3">
        <f t="shared" si="14"/>
        <v>3.9000000000000021</v>
      </c>
      <c r="C51" s="3">
        <f t="shared" si="15"/>
        <v>13.360829182833699</v>
      </c>
      <c r="D51" s="3">
        <f t="shared" si="8"/>
        <v>1.431402034820092</v>
      </c>
      <c r="E51" s="3">
        <f t="shared" si="9"/>
        <v>13.503969386315708</v>
      </c>
      <c r="F51" s="3">
        <f t="shared" si="10"/>
        <v>1.3458413703676015</v>
      </c>
      <c r="G51" s="3">
        <f t="shared" si="11"/>
        <v>13.367180709020195</v>
      </c>
      <c r="H51" s="3">
        <f t="shared" si="12"/>
        <v>6.351526186495704E-3</v>
      </c>
    </row>
    <row r="52" spans="1:8" x14ac:dyDescent="0.25">
      <c r="A52" s="3">
        <f t="shared" si="13"/>
        <v>40</v>
      </c>
      <c r="B52" s="3">
        <f t="shared" si="14"/>
        <v>4.0000000000000018</v>
      </c>
      <c r="C52" s="3">
        <f t="shared" si="15"/>
        <v>13.499691353093084</v>
      </c>
      <c r="D52" s="3">
        <f t="shared" si="8"/>
        <v>1.3484088362075894</v>
      </c>
      <c r="E52" s="3">
        <f t="shared" si="9"/>
        <v>13.634532236713843</v>
      </c>
      <c r="F52" s="3">
        <f t="shared" si="10"/>
        <v>1.2671810552488836</v>
      </c>
      <c r="G52" s="3">
        <f t="shared" si="11"/>
        <v>13.505764225663038</v>
      </c>
      <c r="H52" s="3">
        <f t="shared" si="12"/>
        <v>6.0728725699537023E-3</v>
      </c>
    </row>
    <row r="53" spans="1:8" x14ac:dyDescent="0.25">
      <c r="A53" s="3">
        <f t="shared" si="13"/>
        <v>41</v>
      </c>
      <c r="B53" s="3">
        <f t="shared" si="14"/>
        <v>4.1000000000000014</v>
      </c>
      <c r="C53" s="3">
        <f t="shared" si="15"/>
        <v>13.630470847665908</v>
      </c>
      <c r="D53" s="3">
        <f t="shared" si="8"/>
        <v>1.2696367253669685</v>
      </c>
      <c r="E53" s="3">
        <f t="shared" si="9"/>
        <v>13.757434520202604</v>
      </c>
      <c r="F53" s="3">
        <f t="shared" si="10"/>
        <v>1.1926045490578616</v>
      </c>
      <c r="G53" s="3">
        <f t="shared" si="11"/>
        <v>13.636274195920459</v>
      </c>
      <c r="H53" s="3">
        <f t="shared" si="12"/>
        <v>5.8033482545507553E-3</v>
      </c>
    </row>
    <row r="54" spans="1:8" x14ac:dyDescent="0.25">
      <c r="A54" s="3">
        <f t="shared" si="13"/>
        <v>42</v>
      </c>
      <c r="B54" s="3">
        <f t="shared" si="14"/>
        <v>4.2000000000000011</v>
      </c>
      <c r="C54" s="3">
        <f t="shared" si="15"/>
        <v>13.753582911387149</v>
      </c>
      <c r="D54" s="3">
        <f t="shared" si="8"/>
        <v>1.1949494460355794</v>
      </c>
      <c r="E54" s="3">
        <f t="shared" si="9"/>
        <v>13.873077855990706</v>
      </c>
      <c r="F54" s="3">
        <f t="shared" si="10"/>
        <v>1.1219677080367489</v>
      </c>
      <c r="G54" s="3">
        <f t="shared" si="11"/>
        <v>13.759125873552966</v>
      </c>
      <c r="H54" s="3">
        <f t="shared" si="12"/>
        <v>5.5429621658174E-3</v>
      </c>
    </row>
    <row r="55" spans="1:8" x14ac:dyDescent="0.25">
      <c r="A55" s="3">
        <f t="shared" si="13"/>
        <v>43</v>
      </c>
      <c r="B55" s="3">
        <f t="shared" si="14"/>
        <v>4.3000000000000007</v>
      </c>
      <c r="C55" s="3">
        <f t="shared" si="15"/>
        <v>13.869428769090765</v>
      </c>
      <c r="D55" s="3">
        <f t="shared" si="8"/>
        <v>1.1242034671498651</v>
      </c>
      <c r="E55" s="3">
        <f t="shared" si="9"/>
        <v>13.981849115805751</v>
      </c>
      <c r="F55" s="3">
        <f t="shared" si="10"/>
        <v>1.0551215331568677</v>
      </c>
      <c r="G55" s="3">
        <f t="shared" si="11"/>
        <v>13.874720451441632</v>
      </c>
      <c r="H55" s="3">
        <f t="shared" si="12"/>
        <v>5.2916823508670774E-3</v>
      </c>
    </row>
    <row r="56" spans="1:8" x14ac:dyDescent="0.25">
      <c r="A56" s="3">
        <f t="shared" si="13"/>
        <v>44</v>
      </c>
      <c r="B56" s="3">
        <f t="shared" si="14"/>
        <v>4.4000000000000004</v>
      </c>
      <c r="C56" s="3">
        <f t="shared" si="15"/>
        <v>13.978395019106102</v>
      </c>
      <c r="D56" s="3">
        <f t="shared" si="8"/>
        <v>1.057250294966682</v>
      </c>
      <c r="E56" s="3">
        <f t="shared" si="9"/>
        <v>14.08412004860277</v>
      </c>
      <c r="F56" s="3">
        <f t="shared" si="10"/>
        <v>0.99191411983959199</v>
      </c>
      <c r="G56" s="3">
        <f t="shared" si="11"/>
        <v>13.983444460520488</v>
      </c>
      <c r="H56" s="3">
        <f t="shared" si="12"/>
        <v>5.0494414143855693E-3</v>
      </c>
    </row>
    <row r="57" spans="1:8" x14ac:dyDescent="0.25">
      <c r="A57" s="3">
        <f t="shared" si="13"/>
        <v>45</v>
      </c>
      <c r="B57" s="3">
        <f t="shared" si="14"/>
        <v>4.5</v>
      </c>
      <c r="C57" s="3">
        <f t="shared" si="15"/>
        <v>14.080853239846416</v>
      </c>
      <c r="D57" s="3">
        <f t="shared" si="8"/>
        <v>0.99393843515955638</v>
      </c>
      <c r="E57" s="3">
        <f t="shared" si="9"/>
        <v>14.180247083362371</v>
      </c>
      <c r="F57" s="3">
        <f t="shared" si="10"/>
        <v>0.93219230097568584</v>
      </c>
      <c r="G57" s="3">
        <f t="shared" si="11"/>
        <v>14.085669381214011</v>
      </c>
      <c r="H57" s="3">
        <f t="shared" si="12"/>
        <v>4.816141367594895E-3</v>
      </c>
    </row>
    <row r="58" spans="1:8" x14ac:dyDescent="0.25">
      <c r="A58" s="3">
        <f t="shared" si="13"/>
        <v>46</v>
      </c>
      <c r="B58" s="3">
        <f t="shared" si="14"/>
        <v>4.5999999999999996</v>
      </c>
      <c r="C58" s="3">
        <f t="shared" si="15"/>
        <v>14.177159776653179</v>
      </c>
      <c r="D58" s="3">
        <f t="shared" si="8"/>
        <v>0.93411504727999173</v>
      </c>
      <c r="E58" s="3">
        <f t="shared" si="9"/>
        <v>14.270571281381178</v>
      </c>
      <c r="F58" s="3">
        <f t="shared" si="10"/>
        <v>0.87580302139923205</v>
      </c>
      <c r="G58" s="3">
        <f t="shared" si="11"/>
        <v>14.181751434612906</v>
      </c>
      <c r="H58" s="3">
        <f t="shared" si="12"/>
        <v>4.5916579597271578E-3</v>
      </c>
    </row>
    <row r="59" spans="1:8" x14ac:dyDescent="0.25">
      <c r="A59" s="3">
        <f t="shared" si="13"/>
        <v>47</v>
      </c>
      <c r="B59" s="3">
        <f t="shared" si="14"/>
        <v>4.6999999999999993</v>
      </c>
      <c r="C59" s="3">
        <f t="shared" si="15"/>
        <v>14.26765568008714</v>
      </c>
      <c r="D59" s="3">
        <f t="shared" si="8"/>
        <v>0.87762732971923896</v>
      </c>
      <c r="E59" s="3">
        <f t="shared" si="9"/>
        <v>14.355418413059065</v>
      </c>
      <c r="F59" s="3">
        <f t="shared" si="10"/>
        <v>0.82259447798012886</v>
      </c>
      <c r="G59" s="3">
        <f t="shared" si="11"/>
        <v>14.272031524637974</v>
      </c>
      <c r="H59" s="3">
        <f t="shared" si="12"/>
        <v>4.3758445508341737E-3</v>
      </c>
    </row>
    <row r="60" spans="1:8" x14ac:dyDescent="0.25">
      <c r="A60" s="3">
        <f t="shared" si="13"/>
        <v>48</v>
      </c>
      <c r="B60" s="3">
        <f t="shared" si="14"/>
        <v>4.7999999999999989</v>
      </c>
      <c r="C60" s="3">
        <f t="shared" si="15"/>
        <v>14.352666770472108</v>
      </c>
      <c r="D60" s="3">
        <f t="shared" si="8"/>
        <v>0.82432366934247625</v>
      </c>
      <c r="E60" s="3">
        <f t="shared" si="9"/>
        <v>14.435099137406356</v>
      </c>
      <c r="F60" s="3">
        <f t="shared" si="10"/>
        <v>0.77241705581742437</v>
      </c>
      <c r="G60" s="3">
        <f t="shared" si="11"/>
        <v>14.356835306048318</v>
      </c>
      <c r="H60" s="3">
        <f t="shared" si="12"/>
        <v>4.1685355762091092E-3</v>
      </c>
    </row>
    <row r="61" spans="1:8" x14ac:dyDescent="0.25">
      <c r="A61" s="3">
        <f t="shared" si="13"/>
        <v>49</v>
      </c>
      <c r="B61" s="3">
        <f t="shared" si="14"/>
        <v>4.8999999999999986</v>
      </c>
      <c r="C61" s="3">
        <f t="shared" si="15"/>
        <v>14.432503806730104</v>
      </c>
      <c r="D61" s="3">
        <f t="shared" si="8"/>
        <v>0.77405458630641633</v>
      </c>
      <c r="E61" s="3">
        <f t="shared" si="9"/>
        <v>14.509909265360745</v>
      </c>
      <c r="F61" s="3">
        <f t="shared" si="10"/>
        <v>0.72512408764258041</v>
      </c>
      <c r="G61" s="3">
        <f t="shared" si="11"/>
        <v>14.436473356375718</v>
      </c>
      <c r="H61" s="3">
        <f t="shared" si="12"/>
        <v>3.9695496456140233E-3</v>
      </c>
    </row>
    <row r="62" spans="1:8" x14ac:dyDescent="0.25">
      <c r="A62" s="3">
        <f t="shared" si="13"/>
        <v>50</v>
      </c>
      <c r="B62" s="3">
        <f t="shared" si="14"/>
        <v>4.9999999999999982</v>
      </c>
      <c r="C62" s="3">
        <f t="shared" si="15"/>
        <v>14.507462740427554</v>
      </c>
      <c r="D62" s="3">
        <f t="shared" si="8"/>
        <v>0.72667350121235685</v>
      </c>
      <c r="E62" s="3">
        <f t="shared" si="9"/>
        <v>14.58013009054879</v>
      </c>
      <c r="F62" s="3">
        <f t="shared" si="10"/>
        <v>0.68057246046981135</v>
      </c>
      <c r="G62" s="3">
        <f t="shared" si="11"/>
        <v>14.511241432742152</v>
      </c>
      <c r="H62" s="3">
        <f t="shared" si="12"/>
        <v>3.7786923145972651E-3</v>
      </c>
    </row>
    <row r="63" spans="1:8" x14ac:dyDescent="0.25">
      <c r="A63" s="3">
        <f t="shared" si="13"/>
        <v>51</v>
      </c>
      <c r="B63" s="3">
        <f t="shared" si="14"/>
        <v>5.0999999999999979</v>
      </c>
      <c r="C63" s="3">
        <f t="shared" si="15"/>
        <v>14.577825038511662</v>
      </c>
      <c r="D63" s="3">
        <f t="shared" si="8"/>
        <v>0.6820373486832132</v>
      </c>
      <c r="E63" s="3">
        <f t="shared" si="9"/>
        <v>14.646028773379983</v>
      </c>
      <c r="F63" s="3">
        <f t="shared" si="10"/>
        <v>0.63862309074536583</v>
      </c>
      <c r="G63" s="3">
        <f t="shared" si="11"/>
        <v>14.58142079707237</v>
      </c>
      <c r="H63" s="3">
        <f t="shared" si="12"/>
        <v>3.5957585607082621E-3</v>
      </c>
    </row>
    <row r="64" spans="1:8" x14ac:dyDescent="0.25">
      <c r="A64" s="3">
        <f t="shared" si="13"/>
        <v>52</v>
      </c>
      <c r="B64" s="3">
        <f t="shared" si="14"/>
        <v>5.1999999999999975</v>
      </c>
      <c r="C64" s="3">
        <f t="shared" si="15"/>
        <v>14.64385806048309</v>
      </c>
      <c r="D64" s="3">
        <f t="shared" si="8"/>
        <v>0.64000705867385577</v>
      </c>
      <c r="E64" s="3">
        <f t="shared" si="9"/>
        <v>14.707858766350476</v>
      </c>
      <c r="F64" s="3">
        <f t="shared" si="10"/>
        <v>0.59914128673502276</v>
      </c>
      <c r="G64" s="3">
        <f t="shared" si="11"/>
        <v>14.647278595476152</v>
      </c>
      <c r="H64" s="3">
        <f t="shared" si="12"/>
        <v>3.420534993061608E-3</v>
      </c>
    </row>
    <row r="65" spans="1:8" x14ac:dyDescent="0.25">
      <c r="A65" s="3">
        <f t="shared" si="13"/>
        <v>53</v>
      </c>
      <c r="B65" s="3">
        <f t="shared" si="14"/>
        <v>5.2999999999999972</v>
      </c>
      <c r="C65" s="3">
        <f t="shared" si="15"/>
        <v>14.705815477753534</v>
      </c>
      <c r="D65" s="3">
        <f t="shared" si="8"/>
        <v>0.60044792431301985</v>
      </c>
      <c r="E65" s="3">
        <f t="shared" si="9"/>
        <v>14.765860270184836</v>
      </c>
      <c r="F65" s="3">
        <f t="shared" si="10"/>
        <v>0.56199701462962182</v>
      </c>
      <c r="G65" s="3">
        <f t="shared" si="11"/>
        <v>14.709068279574407</v>
      </c>
      <c r="H65" s="3">
        <f t="shared" si="12"/>
        <v>3.2528018208726195E-3</v>
      </c>
    </row>
    <row r="66" spans="1:8" x14ac:dyDescent="0.25">
      <c r="A66" s="3">
        <f t="shared" si="13"/>
        <v>54</v>
      </c>
      <c r="B66" s="3">
        <f t="shared" si="14"/>
        <v>5.3999999999999968</v>
      </c>
      <c r="C66" s="3">
        <f t="shared" si="15"/>
        <v>14.763937724700666</v>
      </c>
      <c r="D66" s="3">
        <f t="shared" si="8"/>
        <v>0.56322987281647841</v>
      </c>
      <c r="E66" s="3">
        <f t="shared" si="9"/>
        <v>14.820260711982314</v>
      </c>
      <c r="F66" s="3">
        <f t="shared" si="10"/>
        <v>0.52706508282455289</v>
      </c>
      <c r="G66" s="3">
        <f t="shared" si="11"/>
        <v>14.767030059304211</v>
      </c>
      <c r="H66" s="3">
        <f t="shared" si="12"/>
        <v>3.0923346035454102E-3</v>
      </c>
    </row>
    <row r="67" spans="1:8" x14ac:dyDescent="0.25">
      <c r="A67" s="3">
        <f t="shared" si="13"/>
        <v>55</v>
      </c>
      <c r="B67" s="3">
        <f t="shared" si="14"/>
        <v>5.4999999999999964</v>
      </c>
      <c r="C67" s="3">
        <f t="shared" si="15"/>
        <v>14.818452472482718</v>
      </c>
      <c r="D67" s="3">
        <f t="shared" si="8"/>
        <v>0.52822765398590832</v>
      </c>
      <c r="E67" s="3">
        <f t="shared" si="9"/>
        <v>14.87127523788131</v>
      </c>
      <c r="F67" s="3">
        <f t="shared" si="10"/>
        <v>0.49422525702159348</v>
      </c>
      <c r="G67" s="3">
        <f t="shared" si="11"/>
        <v>14.821391378285281</v>
      </c>
      <c r="H67" s="3">
        <f t="shared" si="12"/>
        <v>2.938905802562175E-3</v>
      </c>
    </row>
    <row r="68" spans="1:8" x14ac:dyDescent="0.25">
      <c r="A68" s="3">
        <f t="shared" si="13"/>
        <v>56</v>
      </c>
      <c r="B68" s="3">
        <f t="shared" si="14"/>
        <v>5.5999999999999961</v>
      </c>
      <c r="C68" s="3">
        <f t="shared" si="15"/>
        <v>14.869575118033094</v>
      </c>
      <c r="D68" s="3">
        <f t="shared" si="8"/>
        <v>0.49532095899790107</v>
      </c>
      <c r="E68" s="3">
        <f t="shared" si="9"/>
        <v>14.919107213932884</v>
      </c>
      <c r="F68" s="3">
        <f t="shared" si="10"/>
        <v>0.46336231719203624</v>
      </c>
      <c r="G68" s="3">
        <f t="shared" si="11"/>
        <v>14.872367404186756</v>
      </c>
      <c r="H68" s="3">
        <f t="shared" si="12"/>
        <v>2.7922861536620047E-3</v>
      </c>
    </row>
    <row r="69" spans="1:8" x14ac:dyDescent="0.25">
      <c r="A69" s="3">
        <f t="shared" si="13"/>
        <v>57</v>
      </c>
      <c r="B69" s="3">
        <f t="shared" si="14"/>
        <v>5.6999999999999957</v>
      </c>
      <c r="C69" s="3">
        <f t="shared" si="15"/>
        <v>14.917509281842591</v>
      </c>
      <c r="D69" s="3">
        <f t="shared" si="8"/>
        <v>0.46439448057557797</v>
      </c>
      <c r="E69" s="3">
        <f t="shared" si="9"/>
        <v>14.963948729900149</v>
      </c>
      <c r="F69" s="3">
        <f t="shared" si="10"/>
        <v>0.43436606601052219</v>
      </c>
      <c r="G69" s="3">
        <f t="shared" si="11"/>
        <v>14.920161527718387</v>
      </c>
      <c r="H69" s="3">
        <f t="shared" si="12"/>
        <v>2.6522458757956002E-3</v>
      </c>
    </row>
    <row r="70" spans="1:8" x14ac:dyDescent="0.25">
      <c r="A70" s="3">
        <f t="shared" si="13"/>
        <v>58</v>
      </c>
      <c r="B70" s="3">
        <f t="shared" si="14"/>
        <v>5.7999999999999954</v>
      </c>
      <c r="C70" s="3">
        <f t="shared" si="15"/>
        <v>14.962447309171896</v>
      </c>
      <c r="D70" s="3">
        <f t="shared" si="8"/>
        <v>0.4353379242019102</v>
      </c>
      <c r="E70" s="3">
        <f t="shared" si="9"/>
        <v>15.005981101592088</v>
      </c>
      <c r="F70" s="3">
        <f t="shared" si="10"/>
        <v>0.40713129710246321</v>
      </c>
      <c r="G70" s="3">
        <f t="shared" si="11"/>
        <v>14.964965864903922</v>
      </c>
      <c r="H70" s="3">
        <f t="shared" si="12"/>
        <v>2.5185557320259733E-3</v>
      </c>
    </row>
    <row r="71" spans="1:8" x14ac:dyDescent="0.25">
      <c r="A71" s="3">
        <f t="shared" si="13"/>
        <v>59</v>
      </c>
      <c r="B71" s="3">
        <f t="shared" si="14"/>
        <v>5.899999999999995</v>
      </c>
      <c r="C71" s="3">
        <f t="shared" si="15"/>
        <v>15.004570770237114</v>
      </c>
      <c r="D71" s="3">
        <f t="shared" si="8"/>
        <v>0.40804597876407556</v>
      </c>
      <c r="E71" s="3">
        <f t="shared" si="9"/>
        <v>15.045375368113522</v>
      </c>
      <c r="F71" s="3">
        <f t="shared" si="10"/>
        <v>0.38155773032865881</v>
      </c>
      <c r="G71" s="3">
        <f t="shared" si="11"/>
        <v>15.006961758193153</v>
      </c>
      <c r="H71" s="3">
        <f t="shared" si="12"/>
        <v>2.3909879560388703E-3</v>
      </c>
    </row>
    <row r="72" spans="1:8" x14ac:dyDescent="0.25">
      <c r="A72" s="3">
        <f t="shared" si="13"/>
        <v>60</v>
      </c>
      <c r="B72" s="3">
        <f t="shared" si="14"/>
        <v>5.9999999999999947</v>
      </c>
      <c r="C72" s="3">
        <f t="shared" si="15"/>
        <v>15.044050955691752</v>
      </c>
      <c r="D72" s="3">
        <f t="shared" si="8"/>
        <v>0.38241825389502537</v>
      </c>
      <c r="E72" s="3">
        <f t="shared" si="9"/>
        <v>15.082292781081254</v>
      </c>
      <c r="F72" s="3">
        <f t="shared" si="10"/>
        <v>0.35754992034360455</v>
      </c>
      <c r="G72" s="3">
        <f t="shared" si="11"/>
        <v>15.04632027274876</v>
      </c>
      <c r="H72" s="3">
        <f t="shared" si="12"/>
        <v>2.2693170570082799E-3</v>
      </c>
    </row>
    <row r="73" spans="1:8" x14ac:dyDescent="0.25">
      <c r="A73" s="3">
        <f t="shared" si="13"/>
        <v>61</v>
      </c>
      <c r="B73" s="3">
        <f t="shared" si="14"/>
        <v>6.0999999999999943</v>
      </c>
      <c r="C73" s="3">
        <f t="shared" si="15"/>
        <v>15.081049364403682</v>
      </c>
      <c r="D73" s="3">
        <f t="shared" si="8"/>
        <v>0.35835919028782115</v>
      </c>
      <c r="E73" s="3">
        <f t="shared" si="9"/>
        <v>15.116885283432465</v>
      </c>
      <c r="F73" s="3">
        <f t="shared" si="10"/>
        <v>0.3350171437952163</v>
      </c>
      <c r="G73" s="3">
        <f t="shared" si="11"/>
        <v>15.0832026849179</v>
      </c>
      <c r="H73" s="3">
        <f t="shared" si="12"/>
        <v>2.1533205142176826E-3</v>
      </c>
    </row>
    <row r="74" spans="1:8" x14ac:dyDescent="0.25">
      <c r="A74" s="3">
        <f t="shared" si="13"/>
        <v>62</v>
      </c>
      <c r="B74" s="3">
        <f t="shared" si="14"/>
        <v>6.199999999999994</v>
      </c>
      <c r="C74" s="3">
        <f t="shared" si="15"/>
        <v>15.115718181107834</v>
      </c>
      <c r="D74" s="3">
        <f t="shared" si="8"/>
        <v>0.33577794838581099</v>
      </c>
      <c r="E74" s="3">
        <f t="shared" si="9"/>
        <v>15.149295975946416</v>
      </c>
      <c r="F74" s="3">
        <f t="shared" si="10"/>
        <v>0.31387326977108643</v>
      </c>
      <c r="G74" s="3">
        <f t="shared" si="11"/>
        <v>15.117760960479842</v>
      </c>
      <c r="H74" s="3">
        <f t="shared" si="12"/>
        <v>2.0427793720081411E-3</v>
      </c>
    </row>
    <row r="75" spans="1:8" x14ac:dyDescent="0.25">
      <c r="A75" s="3">
        <f t="shared" si="13"/>
        <v>63</v>
      </c>
      <c r="B75" s="3">
        <f t="shared" si="14"/>
        <v>6.2999999999999936</v>
      </c>
      <c r="C75" s="3">
        <f t="shared" si="15"/>
        <v>15.148200742015678</v>
      </c>
      <c r="D75" s="3">
        <f t="shared" si="8"/>
        <v>0.31458828008572581</v>
      </c>
      <c r="E75" s="3">
        <f t="shared" si="9"/>
        <v>15.179659570024251</v>
      </c>
      <c r="F75" s="3">
        <f t="shared" si="10"/>
        <v>0.29403661742728815</v>
      </c>
      <c r="G75" s="3">
        <f t="shared" si="11"/>
        <v>15.150138220760516</v>
      </c>
      <c r="H75" s="3">
        <f t="shared" si="12"/>
        <v>1.9374787448374065E-3</v>
      </c>
    </row>
    <row r="76" spans="1:8" x14ac:dyDescent="0.25">
      <c r="A76" s="3">
        <f t="shared" si="13"/>
        <v>64</v>
      </c>
      <c r="B76" s="3">
        <f t="shared" si="14"/>
        <v>6.3999999999999932</v>
      </c>
      <c r="C76" s="3">
        <f t="shared" si="15"/>
        <v>15.178631986891329</v>
      </c>
      <c r="D76" s="3">
        <f t="shared" ref="D76:D107" si="16">$B$3*C76^(2/3)-$B$4*C76</f>
        <v>0.29470838741893601</v>
      </c>
      <c r="E76" s="3">
        <f t="shared" ref="E76:E107" si="17">C76+$B$6*D76</f>
        <v>15.208102825633222</v>
      </c>
      <c r="F76" s="3">
        <f t="shared" ref="F76:F107" si="18">$B$3*E76^(2/3)-$B$4*E76</f>
        <v>0.27542980415202578</v>
      </c>
      <c r="G76" s="3">
        <f t="shared" ref="G76:G112" si="19">( $B$8 + ($B$9-$B$8)*EXP(-$B$4*B76/3) )^3</f>
        <v>15.180469195132551</v>
      </c>
      <c r="H76" s="3">
        <f t="shared" ref="H76:H107" si="20">ABS(C76-G76)</f>
        <v>1.8372082412216884E-3</v>
      </c>
    </row>
    <row r="77" spans="1:8" x14ac:dyDescent="0.25">
      <c r="A77" s="3">
        <f t="shared" ref="A77:A112" si="21">A76+1</f>
        <v>65</v>
      </c>
      <c r="B77" s="3">
        <f t="shared" ref="B77:B112" si="22">B76+$B$6</f>
        <v>6.4999999999999929</v>
      </c>
      <c r="C77" s="3">
        <f t="shared" ref="C77:C112" si="23">C76+($B$6/2)*(D76+F76)</f>
        <v>15.207138896469877</v>
      </c>
      <c r="D77" s="3">
        <f t="shared" si="16"/>
        <v>0.27606077158843334</v>
      </c>
      <c r="E77" s="3">
        <f t="shared" si="17"/>
        <v>15.23474497362872</v>
      </c>
      <c r="F77" s="3">
        <f t="shared" si="18"/>
        <v>0.25797958710492708</v>
      </c>
      <c r="G77" s="3">
        <f t="shared" si="19"/>
        <v>15.208880658784741</v>
      </c>
      <c r="H77" s="3">
        <f t="shared" si="20"/>
        <v>1.7417623148645589E-3</v>
      </c>
    </row>
    <row r="78" spans="1:8" x14ac:dyDescent="0.25">
      <c r="A78" s="3">
        <f t="shared" si="21"/>
        <v>66</v>
      </c>
      <c r="B78" s="3">
        <f t="shared" si="22"/>
        <v>6.5999999999999925</v>
      </c>
      <c r="C78" s="3">
        <f t="shared" si="23"/>
        <v>15.233840914404544</v>
      </c>
      <c r="D78" s="3">
        <f t="shared" si="16"/>
        <v>0.25857207522618708</v>
      </c>
      <c r="E78" s="3">
        <f t="shared" si="17"/>
        <v>15.259698121927162</v>
      </c>
      <c r="F78" s="3">
        <f t="shared" si="18"/>
        <v>0.24161670052944473</v>
      </c>
      <c r="G78" s="3">
        <f t="shared" si="19"/>
        <v>15.235491854954777</v>
      </c>
      <c r="H78" s="3">
        <f t="shared" si="20"/>
        <v>1.6509405502329599E-3</v>
      </c>
    </row>
    <row r="79" spans="1:8" x14ac:dyDescent="0.25">
      <c r="A79" s="3">
        <f t="shared" si="21"/>
        <v>67</v>
      </c>
      <c r="B79" s="3">
        <f t="shared" si="22"/>
        <v>6.6999999999999922</v>
      </c>
      <c r="C79" s="3">
        <f t="shared" si="23"/>
        <v>15.258850353192326</v>
      </c>
      <c r="D79" s="3">
        <f t="shared" si="16"/>
        <v>0.24217292028824033</v>
      </c>
      <c r="E79" s="3">
        <f t="shared" si="17"/>
        <v>15.28306764522115</v>
      </c>
      <c r="F79" s="3">
        <f t="shared" si="18"/>
        <v>0.22627569084868426</v>
      </c>
      <c r="G79" s="3">
        <f t="shared" si="19"/>
        <v>15.260414901082068</v>
      </c>
      <c r="H79" s="3">
        <f t="shared" si="20"/>
        <v>1.5645478897425846E-3</v>
      </c>
    </row>
    <row r="80" spans="1:8" x14ac:dyDescent="0.25">
      <c r="A80" s="3">
        <f t="shared" si="21"/>
        <v>68</v>
      </c>
      <c r="B80" s="3">
        <f t="shared" si="22"/>
        <v>6.7999999999999918</v>
      </c>
      <c r="C80" s="3">
        <f t="shared" si="23"/>
        <v>15.282272783749171</v>
      </c>
      <c r="D80" s="3">
        <f t="shared" si="16"/>
        <v>0.22679774361663618</v>
      </c>
      <c r="E80" s="3">
        <f t="shared" si="17"/>
        <v>15.304952558110834</v>
      </c>
      <c r="F80" s="3">
        <f t="shared" si="18"/>
        <v>0.21189475122045565</v>
      </c>
      <c r="G80" s="3">
        <f t="shared" si="19"/>
        <v>15.283755178557684</v>
      </c>
      <c r="H80" s="3">
        <f t="shared" si="20"/>
        <v>1.4823948085123106E-3</v>
      </c>
    </row>
    <row r="81" spans="1:8" x14ac:dyDescent="0.25">
      <c r="A81" s="3">
        <f t="shared" si="21"/>
        <v>69</v>
      </c>
      <c r="B81" s="3">
        <f t="shared" si="22"/>
        <v>6.8999999999999915</v>
      </c>
      <c r="C81" s="3">
        <f t="shared" si="23"/>
        <v>15.304207408491026</v>
      </c>
      <c r="D81" s="3">
        <f t="shared" si="16"/>
        <v>0.21238463185990142</v>
      </c>
      <c r="E81" s="3">
        <f t="shared" si="17"/>
        <v>15.325445871677015</v>
      </c>
      <c r="F81" s="3">
        <f t="shared" si="18"/>
        <v>0.19841555693729873</v>
      </c>
      <c r="G81" s="3">
        <f t="shared" si="19"/>
        <v>15.305611705933714</v>
      </c>
      <c r="H81" s="3">
        <f t="shared" si="20"/>
        <v>1.4042974426882182E-3</v>
      </c>
    </row>
    <row r="82" spans="1:8" x14ac:dyDescent="0.25">
      <c r="A82" s="3">
        <f t="shared" si="21"/>
        <v>70</v>
      </c>
      <c r="B82" s="3">
        <f t="shared" si="22"/>
        <v>6.9999999999999911</v>
      </c>
      <c r="C82" s="3">
        <f t="shared" si="23"/>
        <v>15.324747417930887</v>
      </c>
      <c r="D82" s="3">
        <f t="shared" si="16"/>
        <v>0.19887515715213766</v>
      </c>
      <c r="E82" s="3">
        <f t="shared" si="17"/>
        <v>15.3446349336461</v>
      </c>
      <c r="F82" s="3">
        <f t="shared" si="18"/>
        <v>0.18578310280699384</v>
      </c>
      <c r="G82" s="3">
        <f t="shared" si="19"/>
        <v>15.326077495607297</v>
      </c>
      <c r="H82" s="3">
        <f t="shared" si="20"/>
        <v>1.3300776764104683E-3</v>
      </c>
    </row>
    <row r="83" spans="1:8" x14ac:dyDescent="0.25">
      <c r="A83" s="3">
        <f t="shared" si="21"/>
        <v>71</v>
      </c>
      <c r="B83" s="3">
        <f t="shared" si="22"/>
        <v>7.0999999999999908</v>
      </c>
      <c r="C83" s="3">
        <f t="shared" si="23"/>
        <v>15.343980330928844</v>
      </c>
      <c r="D83" s="3">
        <f t="shared" si="16"/>
        <v>0.18621421469895338</v>
      </c>
      <c r="E83" s="3">
        <f t="shared" si="17"/>
        <v>15.362601752398739</v>
      </c>
      <c r="F83" s="3">
        <f t="shared" si="18"/>
        <v>0.17394554343388791</v>
      </c>
      <c r="G83" s="3">
        <f t="shared" si="19"/>
        <v>15.345239894121203</v>
      </c>
      <c r="H83" s="3">
        <f t="shared" si="20"/>
        <v>1.2595631923595363E-3</v>
      </c>
    </row>
    <row r="84" spans="1:8" x14ac:dyDescent="0.25">
      <c r="A84" s="3">
        <f t="shared" si="21"/>
        <v>72</v>
      </c>
      <c r="B84" s="3">
        <f t="shared" si="22"/>
        <v>7.1999999999999904</v>
      </c>
      <c r="C84" s="3">
        <f t="shared" si="23"/>
        <v>15.361988318835486</v>
      </c>
      <c r="D84" s="3">
        <f t="shared" si="16"/>
        <v>0.17434986320141022</v>
      </c>
      <c r="E84" s="3">
        <f t="shared" si="17"/>
        <v>15.379423305155628</v>
      </c>
      <c r="F84" s="3">
        <f t="shared" si="18"/>
        <v>0.16285403713638047</v>
      </c>
      <c r="G84" s="3">
        <f t="shared" si="19"/>
        <v>15.363180906325558</v>
      </c>
      <c r="H84" s="3">
        <f t="shared" si="20"/>
        <v>1.1925874900722278E-3</v>
      </c>
    </row>
    <row r="85" spans="1:8" x14ac:dyDescent="0.25">
      <c r="A85" s="3">
        <f t="shared" si="21"/>
        <v>73</v>
      </c>
      <c r="B85" s="3">
        <f t="shared" si="22"/>
        <v>7.2999999999999901</v>
      </c>
      <c r="C85" s="3">
        <f t="shared" si="23"/>
        <v>15.378848513852375</v>
      </c>
      <c r="D85" s="3">
        <f t="shared" si="16"/>
        <v>0.16323316886295913</v>
      </c>
      <c r="E85" s="3">
        <f t="shared" si="17"/>
        <v>15.395171830738672</v>
      </c>
      <c r="F85" s="3">
        <f t="shared" si="18"/>
        <v>0.15246259407746265</v>
      </c>
      <c r="G85" s="3">
        <f t="shared" si="19"/>
        <v>15.379977503728551</v>
      </c>
      <c r="H85" s="3">
        <f t="shared" si="20"/>
        <v>1.1289898761752681E-3</v>
      </c>
    </row>
    <row r="86" spans="1:8" x14ac:dyDescent="0.25">
      <c r="A86" s="3">
        <f t="shared" si="21"/>
        <v>74</v>
      </c>
      <c r="B86" s="3">
        <f t="shared" si="22"/>
        <v>7.3999999999999897</v>
      </c>
      <c r="C86" s="3">
        <f t="shared" si="23"/>
        <v>15.394633301999397</v>
      </c>
      <c r="D86" s="3">
        <f t="shared" si="16"/>
        <v>0.15281805356512379</v>
      </c>
      <c r="E86" s="3">
        <f t="shared" si="17"/>
        <v>15.409915107355909</v>
      </c>
      <c r="F86" s="3">
        <f t="shared" si="18"/>
        <v>0.14272792905067533</v>
      </c>
      <c r="G86" s="3">
        <f t="shared" si="19"/>
        <v>15.395701917429385</v>
      </c>
      <c r="H86" s="3">
        <f t="shared" si="20"/>
        <v>1.0686154299879291E-3</v>
      </c>
    </row>
    <row r="87" spans="1:8" x14ac:dyDescent="0.25">
      <c r="A87" s="3">
        <f t="shared" si="21"/>
        <v>75</v>
      </c>
      <c r="B87" s="3">
        <f t="shared" si="22"/>
        <v>7.4999999999999893</v>
      </c>
      <c r="C87" s="3">
        <f t="shared" si="23"/>
        <v>15.409410601130187</v>
      </c>
      <c r="D87" s="3">
        <f t="shared" si="16"/>
        <v>0.14306114766093359</v>
      </c>
      <c r="E87" s="3">
        <f t="shared" si="17"/>
        <v>15.42371671589628</v>
      </c>
      <c r="F87" s="3">
        <f t="shared" si="18"/>
        <v>0.1336093192488228</v>
      </c>
      <c r="G87" s="3">
        <f t="shared" si="19"/>
        <v>15.410421916078052</v>
      </c>
      <c r="H87" s="3">
        <f t="shared" si="20"/>
        <v>1.0113149478652161E-3</v>
      </c>
    </row>
    <row r="88" spans="1:8" x14ac:dyDescent="0.25">
      <c r="A88" s="3">
        <f t="shared" si="21"/>
        <v>76</v>
      </c>
      <c r="B88" s="3">
        <f t="shared" si="22"/>
        <v>7.599999999999989</v>
      </c>
      <c r="C88" s="3">
        <f t="shared" si="23"/>
        <v>15.423244124475675</v>
      </c>
      <c r="D88" s="3">
        <f t="shared" si="16"/>
        <v>0.13392164772051984</v>
      </c>
      <c r="E88" s="3">
        <f t="shared" si="17"/>
        <v>15.436636289247726</v>
      </c>
      <c r="F88" s="3">
        <f t="shared" si="18"/>
        <v>0.12506846724562237</v>
      </c>
      <c r="G88" s="3">
        <f t="shared" si="19"/>
        <v>15.424201069344832</v>
      </c>
      <c r="H88" s="3">
        <f t="shared" si="20"/>
        <v>9.5694486915753885E-4</v>
      </c>
    </row>
    <row r="89" spans="1:8" x14ac:dyDescent="0.25">
      <c r="A89" s="3">
        <f t="shared" si="21"/>
        <v>77</v>
      </c>
      <c r="B89" s="3">
        <f t="shared" si="22"/>
        <v>7.6999999999999886</v>
      </c>
      <c r="C89" s="3">
        <f t="shared" si="23"/>
        <v>15.436193630223983</v>
      </c>
      <c r="D89" s="3">
        <f t="shared" si="16"/>
        <v>0.12536117946418557</v>
      </c>
      <c r="E89" s="3">
        <f t="shared" si="17"/>
        <v>15.4487297481704</v>
      </c>
      <c r="F89" s="3">
        <f t="shared" si="18"/>
        <v>0.11706936933924084</v>
      </c>
      <c r="G89" s="3">
        <f t="shared" si="19"/>
        <v>15.437098997410546</v>
      </c>
      <c r="H89" s="3">
        <f t="shared" si="20"/>
        <v>9.0536718656331061E-4</v>
      </c>
    </row>
    <row r="90" spans="1:8" x14ac:dyDescent="0.25">
      <c r="A90" s="3">
        <f t="shared" si="21"/>
        <v>78</v>
      </c>
      <c r="B90" s="3">
        <f t="shared" si="22"/>
        <v>7.7999999999999883</v>
      </c>
      <c r="C90" s="3">
        <f t="shared" si="23"/>
        <v>15.448315157664155</v>
      </c>
      <c r="D90" s="3">
        <f t="shared" si="16"/>
        <v>0.1173436660367102</v>
      </c>
      <c r="E90" s="3">
        <f t="shared" si="17"/>
        <v>15.460049524267825</v>
      </c>
      <c r="F90" s="3">
        <f t="shared" si="18"/>
        <v>0.10957818933746566</v>
      </c>
      <c r="G90" s="3">
        <f t="shared" si="19"/>
        <v>15.449171607007274</v>
      </c>
      <c r="H90" s="3">
        <f t="shared" si="20"/>
        <v>8.5644934311979171E-4</v>
      </c>
    </row>
    <row r="91" spans="1:8" x14ac:dyDescent="0.25">
      <c r="A91" s="3">
        <f t="shared" si="21"/>
        <v>79</v>
      </c>
      <c r="B91" s="3">
        <f t="shared" si="22"/>
        <v>7.8999999999999879</v>
      </c>
      <c r="C91" s="3">
        <f t="shared" si="23"/>
        <v>15.459661250432863</v>
      </c>
      <c r="D91" s="3">
        <f t="shared" si="16"/>
        <v>0.10983520170703542</v>
      </c>
      <c r="E91" s="3">
        <f t="shared" si="17"/>
        <v>15.470644770603567</v>
      </c>
      <c r="F91" s="3">
        <f t="shared" si="18"/>
        <v>0.10256313780803339</v>
      </c>
      <c r="G91" s="3">
        <f t="shared" si="19"/>
        <v>15.460471314550997</v>
      </c>
      <c r="H91" s="3">
        <f t="shared" si="20"/>
        <v>8.1006411813433488E-4</v>
      </c>
    </row>
    <row r="92" spans="1:8" x14ac:dyDescent="0.25">
      <c r="A92" s="3">
        <f t="shared" si="21"/>
        <v>80</v>
      </c>
      <c r="B92" s="3">
        <f t="shared" si="22"/>
        <v>7.9999999999999876</v>
      </c>
      <c r="C92" s="3">
        <f t="shared" si="23"/>
        <v>15.470281167408617</v>
      </c>
      <c r="D92" s="3">
        <f t="shared" si="16"/>
        <v>0.10280393101991692</v>
      </c>
      <c r="E92" s="3">
        <f t="shared" si="17"/>
        <v>15.480561560510608</v>
      </c>
      <c r="F92" s="3">
        <f t="shared" si="18"/>
        <v>9.5994356769750766E-2</v>
      </c>
      <c r="G92" s="3">
        <f t="shared" si="19"/>
        <v>15.471047256912549</v>
      </c>
      <c r="H92" s="3">
        <f t="shared" si="20"/>
        <v>7.6608950393186603E-4</v>
      </c>
    </row>
    <row r="93" spans="1:8" x14ac:dyDescent="0.25">
      <c r="A93" s="3">
        <f t="shared" si="21"/>
        <v>81</v>
      </c>
      <c r="B93" s="3">
        <f t="shared" si="22"/>
        <v>8.0999999999999872</v>
      </c>
      <c r="C93" s="3">
        <f t="shared" si="23"/>
        <v>15.480221081798099</v>
      </c>
      <c r="D93" s="3">
        <f t="shared" si="16"/>
        <v>9.6219933378694833E-2</v>
      </c>
      <c r="E93" s="3">
        <f t="shared" si="17"/>
        <v>15.489843075135969</v>
      </c>
      <c r="F93" s="3">
        <f t="shared" si="18"/>
        <v>8.9843809762278681E-2</v>
      </c>
      <c r="G93" s="3">
        <f t="shared" si="19"/>
        <v>15.480945490373243</v>
      </c>
      <c r="H93" s="3">
        <f t="shared" si="20"/>
        <v>7.2440857514344259E-4</v>
      </c>
    </row>
    <row r="94" spans="1:8" x14ac:dyDescent="0.25">
      <c r="A94" s="3">
        <f t="shared" si="21"/>
        <v>82</v>
      </c>
      <c r="B94" s="3">
        <f t="shared" si="22"/>
        <v>8.1999999999999869</v>
      </c>
      <c r="C94" s="3">
        <f t="shared" si="23"/>
        <v>15.489524268955147</v>
      </c>
      <c r="D94" s="3">
        <f t="shared" si="16"/>
        <v>9.0055112999252174E-2</v>
      </c>
      <c r="E94" s="3">
        <f t="shared" si="17"/>
        <v>15.498529780255073</v>
      </c>
      <c r="F94" s="3">
        <f t="shared" si="18"/>
        <v>8.4085177200599048E-2</v>
      </c>
      <c r="G94" s="3">
        <f t="shared" si="19"/>
        <v>15.490209178307323</v>
      </c>
      <c r="H94" s="3">
        <f t="shared" si="20"/>
        <v>6.8490935217546678E-4</v>
      </c>
    </row>
    <row r="95" spans="1:8" x14ac:dyDescent="0.25">
      <c r="A95" s="3">
        <f t="shared" si="21"/>
        <v>83</v>
      </c>
      <c r="B95" s="3">
        <f t="shared" si="22"/>
        <v>8.2999999999999865</v>
      </c>
      <c r="C95" s="3">
        <f t="shared" si="23"/>
        <v>15.49823128346514</v>
      </c>
      <c r="D95" s="3">
        <f t="shared" si="16"/>
        <v>8.4283094143557946E-2</v>
      </c>
      <c r="E95" s="3">
        <f t="shared" si="17"/>
        <v>15.506659592879496</v>
      </c>
      <c r="F95" s="3">
        <f t="shared" si="18"/>
        <v>7.8693756895617639E-2</v>
      </c>
      <c r="G95" s="3">
        <f t="shared" si="19"/>
        <v>15.498878768125154</v>
      </c>
      <c r="H95" s="3">
        <f t="shared" si="20"/>
        <v>6.4748466001418592E-4</v>
      </c>
    </row>
    <row r="96" spans="1:8" x14ac:dyDescent="0.25">
      <c r="A96" s="3">
        <f t="shared" si="21"/>
        <v>84</v>
      </c>
      <c r="B96" s="3">
        <f t="shared" si="22"/>
        <v>8.3999999999999861</v>
      </c>
      <c r="C96" s="3">
        <f t="shared" si="23"/>
        <v>15.506380126017099</v>
      </c>
      <c r="D96" s="3">
        <f t="shared" si="16"/>
        <v>7.8879121516077788E-2</v>
      </c>
      <c r="E96" s="3">
        <f t="shared" si="17"/>
        <v>15.514268038168707</v>
      </c>
      <c r="F96" s="3">
        <f t="shared" si="18"/>
        <v>7.364636960263482E-2</v>
      </c>
      <c r="G96" s="3">
        <f t="shared" si="19"/>
        <v>15.506992158001045</v>
      </c>
      <c r="H96" s="3">
        <f t="shared" si="20"/>
        <v>6.1203198394643721E-4</v>
      </c>
    </row>
    <row r="97" spans="1:8" x14ac:dyDescent="0.25">
      <c r="A97" s="3">
        <f t="shared" si="21"/>
        <v>85</v>
      </c>
      <c r="B97" s="3">
        <f t="shared" si="22"/>
        <v>8.4999999999999858</v>
      </c>
      <c r="C97" s="3">
        <f t="shared" si="23"/>
        <v>15.514006400573034</v>
      </c>
      <c r="D97" s="3">
        <f t="shared" si="16"/>
        <v>7.3819965686219291E-2</v>
      </c>
      <c r="E97" s="3">
        <f t="shared" si="17"/>
        <v>15.521388397141656</v>
      </c>
      <c r="F97" s="3">
        <f t="shared" si="18"/>
        <v>6.8921269444523148E-2</v>
      </c>
      <c r="G97" s="3">
        <f t="shared" si="19"/>
        <v>15.514584853895897</v>
      </c>
      <c r="H97" s="3">
        <f t="shared" si="20"/>
        <v>5.7845332286277085E-4</v>
      </c>
    </row>
    <row r="98" spans="1:8" x14ac:dyDescent="0.25">
      <c r="A98" s="3">
        <f t="shared" si="21"/>
        <v>86</v>
      </c>
      <c r="B98" s="3">
        <f t="shared" si="22"/>
        <v>8.5999999999999854</v>
      </c>
      <c r="C98" s="3">
        <f t="shared" si="23"/>
        <v>15.521143462329572</v>
      </c>
      <c r="D98" s="3">
        <f t="shared" si="16"/>
        <v>6.9083833385022331E-2</v>
      </c>
      <c r="E98" s="3">
        <f t="shared" si="17"/>
        <v>15.528051845668074</v>
      </c>
      <c r="F98" s="3">
        <f t="shared" si="18"/>
        <v>6.4498059045096312E-2</v>
      </c>
      <c r="G98" s="3">
        <f t="shared" si="19"/>
        <v>15.521690117371001</v>
      </c>
      <c r="H98" s="3">
        <f t="shared" si="20"/>
        <v>5.4665504142903387E-4</v>
      </c>
    </row>
    <row r="99" spans="1:8" x14ac:dyDescent="0.25">
      <c r="A99" s="3">
        <f t="shared" si="21"/>
        <v>87</v>
      </c>
      <c r="B99" s="3">
        <f t="shared" si="22"/>
        <v>8.6999999999999851</v>
      </c>
      <c r="C99" s="3">
        <f t="shared" si="23"/>
        <v>15.527822556951078</v>
      </c>
      <c r="D99" s="3">
        <f t="shared" si="16"/>
        <v>6.4650282512761947E-2</v>
      </c>
      <c r="E99" s="3">
        <f t="shared" si="17"/>
        <v>15.534287585202353</v>
      </c>
      <c r="F99" s="3">
        <f t="shared" si="18"/>
        <v>6.0357609200739404E-2</v>
      </c>
      <c r="G99" s="3">
        <f t="shared" si="19"/>
        <v>15.528339104672883</v>
      </c>
      <c r="H99" s="3">
        <f t="shared" si="20"/>
        <v>5.1654772180498298E-4</v>
      </c>
    </row>
    <row r="100" spans="1:8" x14ac:dyDescent="0.25">
      <c r="A100" s="3">
        <f t="shared" si="21"/>
        <v>88</v>
      </c>
      <c r="B100" s="3">
        <f t="shared" si="22"/>
        <v>8.7999999999999847</v>
      </c>
      <c r="C100" s="3">
        <f t="shared" si="23"/>
        <v>15.534072951536753</v>
      </c>
      <c r="D100" s="3">
        <f t="shared" si="16"/>
        <v>6.0500141686080866E-2</v>
      </c>
      <c r="E100" s="3">
        <f t="shared" si="17"/>
        <v>15.540122965705361</v>
      </c>
      <c r="F100" s="3">
        <f t="shared" si="18"/>
        <v>5.6481982912785611E-2</v>
      </c>
      <c r="G100" s="3">
        <f t="shared" si="19"/>
        <v>15.534560997552372</v>
      </c>
      <c r="H100" s="3">
        <f t="shared" si="20"/>
        <v>4.8804601561869276E-4</v>
      </c>
    </row>
    <row r="101" spans="1:8" x14ac:dyDescent="0.25">
      <c r="A101" s="3">
        <f t="shared" si="21"/>
        <v>89</v>
      </c>
      <c r="B101" s="3">
        <f t="shared" si="22"/>
        <v>8.8999999999999844</v>
      </c>
      <c r="C101" s="3">
        <f t="shared" si="23"/>
        <v>15.539922057766697</v>
      </c>
      <c r="D101" s="3">
        <f t="shared" si="16"/>
        <v>5.6615434148255872E-2</v>
      </c>
      <c r="E101" s="3">
        <f t="shared" si="17"/>
        <v>15.545583601181523</v>
      </c>
      <c r="F101" s="3">
        <f t="shared" si="18"/>
        <v>5.2854363600776111E-2</v>
      </c>
      <c r="G101" s="3">
        <f t="shared" si="19"/>
        <v>15.540383126263624</v>
      </c>
      <c r="H101" s="3">
        <f t="shared" si="20"/>
        <v>4.6106849692684193E-4</v>
      </c>
    </row>
    <row r="102" spans="1:8" x14ac:dyDescent="0.25">
      <c r="A102" s="3">
        <f t="shared" si="21"/>
        <v>90</v>
      </c>
      <c r="B102" s="3">
        <f t="shared" si="22"/>
        <v>8.999999999999984</v>
      </c>
      <c r="C102" s="3">
        <f t="shared" si="23"/>
        <v>15.545395547654149</v>
      </c>
      <c r="D102" s="3">
        <f t="shared" si="16"/>
        <v>5.2979305862972836E-2</v>
      </c>
      <c r="E102" s="3">
        <f t="shared" si="17"/>
        <v>15.550693478240445</v>
      </c>
      <c r="F102" s="3">
        <f t="shared" si="18"/>
        <v>4.945898731558529E-2</v>
      </c>
      <c r="G102" s="3">
        <f t="shared" si="19"/>
        <v>15.545831085170796</v>
      </c>
      <c r="H102" s="3">
        <f t="shared" si="20"/>
        <v>4.3553751664759943E-4</v>
      </c>
    </row>
    <row r="103" spans="1:8" x14ac:dyDescent="0.25">
      <c r="A103" s="3">
        <f t="shared" si="21"/>
        <v>91</v>
      </c>
      <c r="B103" s="3">
        <f t="shared" si="22"/>
        <v>9.0999999999999837</v>
      </c>
      <c r="C103" s="3">
        <f t="shared" si="23"/>
        <v>15.550517462313076</v>
      </c>
      <c r="D103" s="3">
        <f t="shared" si="16"/>
        <v>4.9575957611232013E-2</v>
      </c>
      <c r="E103" s="3">
        <f t="shared" si="17"/>
        <v>15.555475058074199</v>
      </c>
      <c r="F103" s="3">
        <f t="shared" si="18"/>
        <v>4.6281078772405948E-2</v>
      </c>
      <c r="G103" s="3">
        <f t="shared" si="19"/>
        <v>15.550928841371995</v>
      </c>
      <c r="H103" s="3">
        <f t="shared" si="20"/>
        <v>4.1137905891908133E-4</v>
      </c>
    </row>
    <row r="104" spans="1:8" x14ac:dyDescent="0.25">
      <c r="A104" s="3">
        <f t="shared" si="21"/>
        <v>92</v>
      </c>
      <c r="B104" s="3">
        <f t="shared" si="22"/>
        <v>9.1999999999999833</v>
      </c>
      <c r="C104" s="3">
        <f t="shared" si="23"/>
        <v>15.555310314132258</v>
      </c>
      <c r="D104" s="3">
        <f t="shared" si="16"/>
        <v>4.639058091158077E-2</v>
      </c>
      <c r="E104" s="3">
        <f t="shared" si="17"/>
        <v>15.559949372223416</v>
      </c>
      <c r="F104" s="3">
        <f t="shared" si="18"/>
        <v>4.3306791025241154E-2</v>
      </c>
      <c r="G104" s="3">
        <f t="shared" si="19"/>
        <v>15.555698836732091</v>
      </c>
      <c r="H104" s="3">
        <f t="shared" si="20"/>
        <v>3.885225998327968E-4</v>
      </c>
    </row>
    <row r="105" spans="1:8" x14ac:dyDescent="0.25">
      <c r="A105" s="3">
        <f t="shared" si="21"/>
        <v>93</v>
      </c>
      <c r="B105" s="3">
        <f t="shared" si="22"/>
        <v>9.2999999999999829</v>
      </c>
      <c r="C105" s="3">
        <f t="shared" si="23"/>
        <v>15.559795182729099</v>
      </c>
      <c r="D105" s="3">
        <f t="shared" si="16"/>
        <v>4.3409297585725426E-2</v>
      </c>
      <c r="E105" s="3">
        <f t="shared" si="17"/>
        <v>15.564136112487672</v>
      </c>
      <c r="F105" s="3">
        <f t="shared" si="18"/>
        <v>4.0523148608013315E-2</v>
      </c>
      <c r="G105" s="3">
        <f t="shared" si="19"/>
        <v>15.560162083697909</v>
      </c>
      <c r="H105" s="3">
        <f t="shared" si="20"/>
        <v>3.6690096881031309E-4</v>
      </c>
    </row>
    <row r="106" spans="1:8" x14ac:dyDescent="0.25">
      <c r="A106" s="3">
        <f t="shared" si="21"/>
        <v>94</v>
      </c>
      <c r="B106" s="3">
        <f t="shared" si="22"/>
        <v>9.3999999999999826</v>
      </c>
      <c r="C106" s="3">
        <f t="shared" si="23"/>
        <v>15.563991805038786</v>
      </c>
      <c r="D106" s="3">
        <f t="shared" si="16"/>
        <v>4.0619102794725137E-2</v>
      </c>
      <c r="E106" s="3">
        <f t="shared" si="17"/>
        <v>15.568053715318259</v>
      </c>
      <c r="F106" s="3">
        <f t="shared" si="18"/>
        <v>3.7917993971046116E-2</v>
      </c>
      <c r="G106" s="3">
        <f t="shared" si="19"/>
        <v>15.564338255251814</v>
      </c>
      <c r="H106" s="3">
        <f t="shared" si="20"/>
        <v>3.4645021302814882E-4</v>
      </c>
    </row>
    <row r="107" spans="1:8" x14ac:dyDescent="0.25">
      <c r="A107" s="3">
        <f t="shared" si="21"/>
        <v>95</v>
      </c>
      <c r="B107" s="3">
        <f t="shared" si="22"/>
        <v>9.4999999999999822</v>
      </c>
      <c r="C107" s="3">
        <f t="shared" si="23"/>
        <v>15.567918659877074</v>
      </c>
      <c r="D107" s="3">
        <f t="shared" si="16"/>
        <v>3.8007811374576761E-2</v>
      </c>
      <c r="E107" s="3">
        <f t="shared" si="17"/>
        <v>15.571719441014531</v>
      </c>
      <c r="F107" s="3">
        <f t="shared" si="18"/>
        <v>3.5479937046332566E-2</v>
      </c>
      <c r="G107" s="3">
        <f t="shared" si="19"/>
        <v>15.568245769341987</v>
      </c>
      <c r="H107" s="3">
        <f t="shared" si="20"/>
        <v>3.2710946491221193E-4</v>
      </c>
    </row>
    <row r="108" spans="1:8" x14ac:dyDescent="0.25">
      <c r="A108" s="3">
        <f t="shared" si="21"/>
        <v>96</v>
      </c>
      <c r="B108" s="3">
        <f t="shared" si="22"/>
        <v>9.5999999999999819</v>
      </c>
      <c r="C108" s="3">
        <f t="shared" si="23"/>
        <v>15.571593047298119</v>
      </c>
      <c r="D108" s="3">
        <f t="shared" ref="D108:D139" si="24">$B$3*C108^(2/3)-$B$4*C108</f>
        <v>3.5564007304859757E-2</v>
      </c>
      <c r="E108" s="3">
        <f t="shared" ref="E108:E139" si="25">C108+$B$6*D108</f>
        <v>15.575149448028606</v>
      </c>
      <c r="F108" s="3">
        <f t="shared" ref="F108:F139" si="26">$B$3*E108^(2/3)-$B$4*E108</f>
        <v>3.3198307780068603E-2</v>
      </c>
      <c r="G108" s="3">
        <f t="shared" si="19"/>
        <v>15.571901868111267</v>
      </c>
      <c r="H108" s="3">
        <f t="shared" ref="H108:H139" si="27">ABS(C108-G108)</f>
        <v>3.0882081314764775E-4</v>
      </c>
    </row>
    <row r="109" spans="1:8" x14ac:dyDescent="0.25">
      <c r="A109" s="3">
        <f t="shared" si="21"/>
        <v>97</v>
      </c>
      <c r="B109" s="3">
        <f t="shared" si="22"/>
        <v>9.6999999999999815</v>
      </c>
      <c r="C109" s="3">
        <f t="shared" si="23"/>
        <v>15.575031163052365</v>
      </c>
      <c r="D109" s="3">
        <f t="shared" si="24"/>
        <v>3.3276996148739357E-2</v>
      </c>
      <c r="E109" s="3">
        <f t="shared" si="25"/>
        <v>15.578358862667239</v>
      </c>
      <c r="F109" s="3">
        <f t="shared" si="26"/>
        <v>3.1063111476473892E-2</v>
      </c>
      <c r="G109" s="3">
        <f t="shared" si="19"/>
        <v>15.575322692229461</v>
      </c>
      <c r="H109" s="3">
        <f t="shared" si="27"/>
        <v>2.9152917709573956E-4</v>
      </c>
    </row>
    <row r="110" spans="1:8" x14ac:dyDescent="0.25">
      <c r="A110" s="3">
        <f t="shared" si="21"/>
        <v>98</v>
      </c>
      <c r="B110" s="3">
        <f t="shared" si="22"/>
        <v>9.7999999999999812</v>
      </c>
      <c r="C110" s="3">
        <f t="shared" si="23"/>
        <v>15.578248168433626</v>
      </c>
      <c r="D110" s="3">
        <f t="shared" si="24"/>
        <v>3.1136760308353217E-2</v>
      </c>
      <c r="E110" s="3">
        <f t="shared" si="25"/>
        <v>15.581361844464462</v>
      </c>
      <c r="F110" s="3">
        <f t="shared" si="26"/>
        <v>2.9064986802179504E-2</v>
      </c>
      <c r="G110" s="3">
        <f t="shared" si="19"/>
        <v>15.578523350618523</v>
      </c>
      <c r="H110" s="3">
        <f t="shared" si="27"/>
        <v>2.751821848967495E-4</v>
      </c>
    </row>
    <row r="111" spans="1:8" x14ac:dyDescent="0.25">
      <c r="A111" s="3">
        <f t="shared" si="21"/>
        <v>99</v>
      </c>
      <c r="B111" s="3">
        <f t="shared" si="22"/>
        <v>9.8999999999999808</v>
      </c>
      <c r="C111" s="3">
        <f t="shared" si="23"/>
        <v>15.581258255789153</v>
      </c>
      <c r="D111" s="3">
        <f t="shared" si="24"/>
        <v>2.9133916945141891E-2</v>
      </c>
      <c r="E111" s="3">
        <f t="shared" si="25"/>
        <v>15.584171647483668</v>
      </c>
      <c r="F111" s="3">
        <f t="shared" si="26"/>
        <v>2.7195166307226515E-2</v>
      </c>
      <c r="G111" s="3">
        <f t="shared" si="19"/>
        <v>15.581517985844471</v>
      </c>
      <c r="H111" s="3">
        <f t="shared" si="27"/>
        <v>2.5973005531731985E-4</v>
      </c>
    </row>
    <row r="112" spans="1:8" x14ac:dyDescent="0.25">
      <c r="A112" s="3">
        <f t="shared" si="21"/>
        <v>100</v>
      </c>
      <c r="B112" s="3">
        <f t="shared" si="22"/>
        <v>9.9999999999999805</v>
      </c>
      <c r="C112" s="3">
        <f t="shared" si="23"/>
        <v>15.584074709951771</v>
      </c>
      <c r="D112" s="3">
        <f t="shared" si="24"/>
        <v>2.7259678420456623E-2</v>
      </c>
      <c r="E112" s="3">
        <f t="shared" si="25"/>
        <v>15.586800677793818</v>
      </c>
      <c r="F112" s="3">
        <f t="shared" si="26"/>
        <v>2.5445439323579677E-2</v>
      </c>
      <c r="G112" s="3">
        <f t="shared" si="19"/>
        <v>15.584319835435055</v>
      </c>
      <c r="H112" s="3">
        <f t="shared" si="27"/>
        <v>2.4512548328381456E-4</v>
      </c>
    </row>
    <row r="113" spans="1:8" x14ac:dyDescent="0.25">
      <c r="A113" s="3"/>
      <c r="B113" s="3"/>
      <c r="C113" s="3"/>
      <c r="D113" s="3"/>
      <c r="E113" s="3"/>
      <c r="F113" s="3"/>
      <c r="G113" s="3"/>
      <c r="H113" s="3"/>
    </row>
  </sheetData>
  <mergeCells count="1"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Organismo_Euler</vt:lpstr>
      <vt:lpstr>Organismo_Heun</vt:lpstr>
      <vt:lpstr>Pez_Euler</vt:lpstr>
      <vt:lpstr>Pez_Heun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Rojas</cp:lastModifiedBy>
  <dcterms:created xsi:type="dcterms:W3CDTF">2025-12-02T16:28:50Z</dcterms:created>
  <dcterms:modified xsi:type="dcterms:W3CDTF">2025-12-02T17:06:03Z</dcterms:modified>
</cp:coreProperties>
</file>