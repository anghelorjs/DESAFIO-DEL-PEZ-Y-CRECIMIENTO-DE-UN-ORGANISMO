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smo_Euler" sheetId="1" state="visible" r:id="rId1"/>
    <sheet xmlns:r="http://schemas.openxmlformats.org/officeDocument/2006/relationships" name="Organismo_Heun" sheetId="2" state="visible" r:id="rId2"/>
    <sheet xmlns:r="http://schemas.openxmlformats.org/officeDocument/2006/relationships" name="Pez_Euler" sheetId="3" state="visible" r:id="rId3"/>
    <sheet xmlns:r="http://schemas.openxmlformats.org/officeDocument/2006/relationships" name="Pez_He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11827"/>
        <bgColor rgb="00111827"/>
      </patternFill>
    </fill>
    <fill>
      <patternFill patternType="solid">
        <fgColor rgb="001D4ED8"/>
        <bgColor rgb="001D4ED8"/>
      </patternFill>
    </fill>
    <fill>
      <patternFill patternType="solid">
        <fgColor rgb="000EA5E9"/>
        <bgColor rgb="000EA5E9"/>
      </patternFill>
    </fill>
    <fill>
      <patternFill patternType="solid">
        <fgColor rgb="007C3AED"/>
        <bgColor rgb="007C3AED"/>
      </patternFill>
    </fill>
    <fill>
      <patternFill patternType="solid">
        <fgColor rgb="00F97316"/>
        <bgColor rgb="00F97316"/>
      </patternFill>
    </fill>
  </fills>
  <borders count="2">
    <border>
      <left/>
      <right/>
      <top/>
      <bottom/>
      <diagonal/>
    </border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Crecimiento del organismo - Euler vs Exacto</a:t>
            </a:r>
          </a:p>
        </rich>
      </tx>
    </title>
    <plotArea>
      <scatterChart>
        <ser>
          <idx val="0"/>
          <order val="0"/>
          <tx>
            <v>Euler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'Organismo_Euler'!$B$12:$B$413</f>
            </numRef>
          </xVal>
          <yVal>
            <numRef>
              <f>'Organismo_Euler'!$C$12:$C$413</f>
            </numRef>
          </yVal>
        </ser>
        <ser>
          <idx val="1"/>
          <order val="1"/>
          <tx>
            <v>Exacto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'Organismo_Euler'!$B$12:$B$413</f>
            </numRef>
          </xVal>
          <yVal>
            <numRef>
              <f>'Organismo_Euler'!$E$12:$E$413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(días)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m(t) [kg]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Crecimiento del organismo - Heun vs Exacto</a:t>
            </a:r>
          </a:p>
        </rich>
      </tx>
    </title>
    <plotArea>
      <scatterChart>
        <ser>
          <idx val="0"/>
          <order val="0"/>
          <tx>
            <v>Heun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'Organismo_Heun'!$B$12:$B$413</f>
            </numRef>
          </xVal>
          <yVal>
            <numRef>
              <f>'Organismo_Heun'!$C$12:$C$413</f>
            </numRef>
          </yVal>
        </ser>
        <ser>
          <idx val="1"/>
          <order val="1"/>
          <tx>
            <v>Exacto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'Organismo_Heun'!$B$12:$B$413</f>
            </numRef>
          </xVal>
          <yVal>
            <numRef>
              <f>'Organismo_Heun'!$G$12:$G$413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(días)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m(t) [kg]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Crecimiento del pez - Euler vs Exacto</a:t>
            </a:r>
          </a:p>
        </rich>
      </tx>
    </title>
    <plotArea>
      <scatterChart>
        <ser>
          <idx val="0"/>
          <order val="0"/>
          <tx>
            <v>Euler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'Pez_Euler'!$B$12:$B$113</f>
            </numRef>
          </xVal>
          <yVal>
            <numRef>
              <f>'Pez_Euler'!$C$12:$C$113</f>
            </numRef>
          </yVal>
        </ser>
        <ser>
          <idx val="1"/>
          <order val="1"/>
          <tx>
            <v>Exacto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'Pez_Euler'!$B$12:$B$113</f>
            </numRef>
          </xVal>
          <yVal>
            <numRef>
              <f>'Pez_Euler'!$E$12:$E$113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(días)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w(t) [lb]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Crecimiento del pez - Heun vs Exacto</a:t>
            </a:r>
          </a:p>
        </rich>
      </tx>
    </title>
    <plotArea>
      <scatterChart>
        <ser>
          <idx val="0"/>
          <order val="0"/>
          <tx>
            <v>Heun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'Pez_Heun'!$B$12:$B$113</f>
            </numRef>
          </xVal>
          <yVal>
            <numRef>
              <f>'Pez_Heun'!$C$12:$C$113</f>
            </numRef>
          </yVal>
        </ser>
        <ser>
          <idx val="1"/>
          <order val="1"/>
          <tx>
            <v>Exacto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'Pez_Heun'!$B$12:$B$113</f>
            </numRef>
          </xVal>
          <yVal>
            <numRef>
              <f>'Pez_Heun'!$G$12:$G$113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(días)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w(t) [lb]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8" customWidth="1" min="4" max="4"/>
    <col width="16" customWidth="1" min="5" max="5"/>
    <col width="14" customWidth="1" min="6" max="6"/>
    <col width="10" customWidth="1" min="8" max="8"/>
    <col width="16" customWidth="1" min="9" max="9"/>
  </cols>
  <sheetData>
    <row r="1">
      <c r="A1" s="1" t="inlineStr">
        <is>
          <t>Crecimiento de un Organismo - Método de Euler</t>
        </is>
      </c>
    </row>
    <row r="3">
      <c r="A3" s="2" t="inlineStr">
        <is>
          <t>k (kg^(1/4)/día)</t>
        </is>
      </c>
      <c r="B3" t="n">
        <v>0.3</v>
      </c>
    </row>
    <row r="4">
      <c r="A4" s="2" t="inlineStr">
        <is>
          <t>m_max (kg)</t>
        </is>
      </c>
      <c r="B4" t="n">
        <v>300</v>
      </c>
    </row>
    <row r="5">
      <c r="A5" s="2" t="inlineStr">
        <is>
          <t>m(0) (kg)</t>
        </is>
      </c>
      <c r="B5" t="n">
        <v>1</v>
      </c>
    </row>
    <row r="6">
      <c r="A6" s="2" t="inlineStr">
        <is>
          <t>Paso h (días)</t>
        </is>
      </c>
      <c r="B6" t="n">
        <v>1</v>
      </c>
    </row>
    <row r="7">
      <c r="A7" s="2" t="inlineStr">
        <is>
          <t>t_final (días)</t>
        </is>
      </c>
      <c r="B7" t="n">
        <v>400</v>
      </c>
    </row>
    <row r="8">
      <c r="A8" s="2" t="inlineStr">
        <is>
          <t>M = m_max^(1/4)</t>
        </is>
      </c>
      <c r="B8">
        <f>B4^(1/4)</f>
        <v/>
      </c>
    </row>
    <row r="9">
      <c r="A9" s="2" t="inlineStr">
        <is>
          <t>y0 = m(0)^(1/4)</t>
        </is>
      </c>
      <c r="B9">
        <f>B5^(1/4)</f>
        <v/>
      </c>
    </row>
    <row r="11">
      <c r="A11" s="3" t="inlineStr">
        <is>
          <t>n</t>
        </is>
      </c>
      <c r="B11" s="3" t="inlineStr">
        <is>
          <t>t_n (días)</t>
        </is>
      </c>
      <c r="C11" s="3" t="inlineStr">
        <is>
          <t>m_n (Euler) [kg]</t>
        </is>
      </c>
      <c r="D11" s="3" t="inlineStr">
        <is>
          <t>f(t_n,m_n)</t>
        </is>
      </c>
      <c r="E11" s="3" t="inlineStr">
        <is>
          <t>m_exact(t_n) [kg]</t>
        </is>
      </c>
      <c r="F11" s="3" t="inlineStr">
        <is>
          <t>|Error|</t>
        </is>
      </c>
    </row>
    <row r="12">
      <c r="A12" s="4" t="n">
        <v>0</v>
      </c>
      <c r="B12" s="4" t="n">
        <v>0</v>
      </c>
      <c r="C12" s="4">
        <f>B5</f>
        <v/>
      </c>
      <c r="D12" s="4">
        <f>$B$3*C12^(3/4)*(1-(C12/$B$4)^(1/4))</f>
        <v/>
      </c>
      <c r="E12" s="4">
        <f>( $B$8 + ($B$9-$B$8)*EXP(-$B$3*B12/(4*$B$8)) )^4</f>
        <v/>
      </c>
      <c r="F12" s="4">
        <f>ABS(C12-E12)</f>
        <v/>
      </c>
    </row>
    <row r="13">
      <c r="A13" s="4">
        <f>A12+1</f>
        <v/>
      </c>
      <c r="B13" s="4">
        <f>B12+$B$6</f>
        <v/>
      </c>
      <c r="C13" s="4">
        <f>C12+$B$6*D12</f>
        <v/>
      </c>
      <c r="D13" s="4">
        <f>$B$3*C13^(3/4)*(1-(C13/$B$4)^(1/4))</f>
        <v/>
      </c>
      <c r="E13" s="4">
        <f>( $B$8 + ($B$9-$B$8)*EXP(-$B$3*B13/(4*$B$8)) )^4</f>
        <v/>
      </c>
      <c r="F13" s="4">
        <f>ABS(C13-E13)</f>
        <v/>
      </c>
    </row>
    <row r="14">
      <c r="A14" s="4">
        <f>A13+1</f>
        <v/>
      </c>
      <c r="B14" s="4">
        <f>B13+$B$6</f>
        <v/>
      </c>
      <c r="C14" s="4">
        <f>C13+$B$6*D13</f>
        <v/>
      </c>
      <c r="D14" s="4">
        <f>$B$3*C14^(3/4)*(1-(C14/$B$4)^(1/4))</f>
        <v/>
      </c>
      <c r="E14" s="4">
        <f>( $B$8 + ($B$9-$B$8)*EXP(-$B$3*B14/(4*$B$8)) )^4</f>
        <v/>
      </c>
      <c r="F14" s="4">
        <f>ABS(C14-E14)</f>
        <v/>
      </c>
    </row>
    <row r="15">
      <c r="A15" s="4">
        <f>A14+1</f>
        <v/>
      </c>
      <c r="B15" s="4">
        <f>B14+$B$6</f>
        <v/>
      </c>
      <c r="C15" s="4">
        <f>C14+$B$6*D14</f>
        <v/>
      </c>
      <c r="D15" s="4">
        <f>$B$3*C15^(3/4)*(1-(C15/$B$4)^(1/4))</f>
        <v/>
      </c>
      <c r="E15" s="4">
        <f>( $B$8 + ($B$9-$B$8)*EXP(-$B$3*B15/(4*$B$8)) )^4</f>
        <v/>
      </c>
      <c r="F15" s="4">
        <f>ABS(C15-E15)</f>
        <v/>
      </c>
    </row>
    <row r="16">
      <c r="A16" s="4">
        <f>A15+1</f>
        <v/>
      </c>
      <c r="B16" s="4">
        <f>B15+$B$6</f>
        <v/>
      </c>
      <c r="C16" s="4">
        <f>C15+$B$6*D15</f>
        <v/>
      </c>
      <c r="D16" s="4">
        <f>$B$3*C16^(3/4)*(1-(C16/$B$4)^(1/4))</f>
        <v/>
      </c>
      <c r="E16" s="4">
        <f>( $B$8 + ($B$9-$B$8)*EXP(-$B$3*B16/(4*$B$8)) )^4</f>
        <v/>
      </c>
      <c r="F16" s="4">
        <f>ABS(C16-E16)</f>
        <v/>
      </c>
    </row>
    <row r="17">
      <c r="A17" s="4">
        <f>A16+1</f>
        <v/>
      </c>
      <c r="B17" s="4">
        <f>B16+$B$6</f>
        <v/>
      </c>
      <c r="C17" s="4">
        <f>C16+$B$6*D16</f>
        <v/>
      </c>
      <c r="D17" s="4">
        <f>$B$3*C17^(3/4)*(1-(C17/$B$4)^(1/4))</f>
        <v/>
      </c>
      <c r="E17" s="4">
        <f>( $B$8 + ($B$9-$B$8)*EXP(-$B$3*B17/(4*$B$8)) )^4</f>
        <v/>
      </c>
      <c r="F17" s="4">
        <f>ABS(C17-E17)</f>
        <v/>
      </c>
    </row>
    <row r="18">
      <c r="A18" s="4">
        <f>A17+1</f>
        <v/>
      </c>
      <c r="B18" s="4">
        <f>B17+$B$6</f>
        <v/>
      </c>
      <c r="C18" s="4">
        <f>C17+$B$6*D17</f>
        <v/>
      </c>
      <c r="D18" s="4">
        <f>$B$3*C18^(3/4)*(1-(C18/$B$4)^(1/4))</f>
        <v/>
      </c>
      <c r="E18" s="4">
        <f>( $B$8 + ($B$9-$B$8)*EXP(-$B$3*B18/(4*$B$8)) )^4</f>
        <v/>
      </c>
      <c r="F18" s="4">
        <f>ABS(C18-E18)</f>
        <v/>
      </c>
    </row>
    <row r="19">
      <c r="A19" s="4">
        <f>A18+1</f>
        <v/>
      </c>
      <c r="B19" s="4">
        <f>B18+$B$6</f>
        <v/>
      </c>
      <c r="C19" s="4">
        <f>C18+$B$6*D18</f>
        <v/>
      </c>
      <c r="D19" s="4">
        <f>$B$3*C19^(3/4)*(1-(C19/$B$4)^(1/4))</f>
        <v/>
      </c>
      <c r="E19" s="4">
        <f>( $B$8 + ($B$9-$B$8)*EXP(-$B$3*B19/(4*$B$8)) )^4</f>
        <v/>
      </c>
      <c r="F19" s="4">
        <f>ABS(C19-E19)</f>
        <v/>
      </c>
    </row>
    <row r="20">
      <c r="A20" s="4">
        <f>A19+1</f>
        <v/>
      </c>
      <c r="B20" s="4">
        <f>B19+$B$6</f>
        <v/>
      </c>
      <c r="C20" s="4">
        <f>C19+$B$6*D19</f>
        <v/>
      </c>
      <c r="D20" s="4">
        <f>$B$3*C20^(3/4)*(1-(C20/$B$4)^(1/4))</f>
        <v/>
      </c>
      <c r="E20" s="4">
        <f>( $B$8 + ($B$9-$B$8)*EXP(-$B$3*B20/(4*$B$8)) )^4</f>
        <v/>
      </c>
      <c r="F20" s="4">
        <f>ABS(C20-E20)</f>
        <v/>
      </c>
    </row>
    <row r="21">
      <c r="A21" s="4">
        <f>A20+1</f>
        <v/>
      </c>
      <c r="B21" s="4">
        <f>B20+$B$6</f>
        <v/>
      </c>
      <c r="C21" s="4">
        <f>C20+$B$6*D20</f>
        <v/>
      </c>
      <c r="D21" s="4">
        <f>$B$3*C21^(3/4)*(1-(C21/$B$4)^(1/4))</f>
        <v/>
      </c>
      <c r="E21" s="4">
        <f>( $B$8 + ($B$9-$B$8)*EXP(-$B$3*B21/(4*$B$8)) )^4</f>
        <v/>
      </c>
      <c r="F21" s="4">
        <f>ABS(C21-E21)</f>
        <v/>
      </c>
    </row>
    <row r="22">
      <c r="A22" s="4">
        <f>A21+1</f>
        <v/>
      </c>
      <c r="B22" s="4">
        <f>B21+$B$6</f>
        <v/>
      </c>
      <c r="C22" s="4">
        <f>C21+$B$6*D21</f>
        <v/>
      </c>
      <c r="D22" s="4">
        <f>$B$3*C22^(3/4)*(1-(C22/$B$4)^(1/4))</f>
        <v/>
      </c>
      <c r="E22" s="4">
        <f>( $B$8 + ($B$9-$B$8)*EXP(-$B$3*B22/(4*$B$8)) )^4</f>
        <v/>
      </c>
      <c r="F22" s="4">
        <f>ABS(C22-E22)</f>
        <v/>
      </c>
    </row>
    <row r="23">
      <c r="A23" s="4">
        <f>A22+1</f>
        <v/>
      </c>
      <c r="B23" s="4">
        <f>B22+$B$6</f>
        <v/>
      </c>
      <c r="C23" s="4">
        <f>C22+$B$6*D22</f>
        <v/>
      </c>
      <c r="D23" s="4">
        <f>$B$3*C23^(3/4)*(1-(C23/$B$4)^(1/4))</f>
        <v/>
      </c>
      <c r="E23" s="4">
        <f>( $B$8 + ($B$9-$B$8)*EXP(-$B$3*B23/(4*$B$8)) )^4</f>
        <v/>
      </c>
      <c r="F23" s="4">
        <f>ABS(C23-E23)</f>
        <v/>
      </c>
    </row>
    <row r="24">
      <c r="A24" s="4">
        <f>A23+1</f>
        <v/>
      </c>
      <c r="B24" s="4">
        <f>B23+$B$6</f>
        <v/>
      </c>
      <c r="C24" s="4">
        <f>C23+$B$6*D23</f>
        <v/>
      </c>
      <c r="D24" s="4">
        <f>$B$3*C24^(3/4)*(1-(C24/$B$4)^(1/4))</f>
        <v/>
      </c>
      <c r="E24" s="4">
        <f>( $B$8 + ($B$9-$B$8)*EXP(-$B$3*B24/(4*$B$8)) )^4</f>
        <v/>
      </c>
      <c r="F24" s="4">
        <f>ABS(C24-E24)</f>
        <v/>
      </c>
    </row>
    <row r="25">
      <c r="A25" s="4">
        <f>A24+1</f>
        <v/>
      </c>
      <c r="B25" s="4">
        <f>B24+$B$6</f>
        <v/>
      </c>
      <c r="C25" s="4">
        <f>C24+$B$6*D24</f>
        <v/>
      </c>
      <c r="D25" s="4">
        <f>$B$3*C25^(3/4)*(1-(C25/$B$4)^(1/4))</f>
        <v/>
      </c>
      <c r="E25" s="4">
        <f>( $B$8 + ($B$9-$B$8)*EXP(-$B$3*B25/(4*$B$8)) )^4</f>
        <v/>
      </c>
      <c r="F25" s="4">
        <f>ABS(C25-E25)</f>
        <v/>
      </c>
    </row>
    <row r="26">
      <c r="A26" s="4">
        <f>A25+1</f>
        <v/>
      </c>
      <c r="B26" s="4">
        <f>B25+$B$6</f>
        <v/>
      </c>
      <c r="C26" s="4">
        <f>C25+$B$6*D25</f>
        <v/>
      </c>
      <c r="D26" s="4">
        <f>$B$3*C26^(3/4)*(1-(C26/$B$4)^(1/4))</f>
        <v/>
      </c>
      <c r="E26" s="4">
        <f>( $B$8 + ($B$9-$B$8)*EXP(-$B$3*B26/(4*$B$8)) )^4</f>
        <v/>
      </c>
      <c r="F26" s="4">
        <f>ABS(C26-E26)</f>
        <v/>
      </c>
    </row>
    <row r="27">
      <c r="A27" s="4">
        <f>A26+1</f>
        <v/>
      </c>
      <c r="B27" s="4">
        <f>B26+$B$6</f>
        <v/>
      </c>
      <c r="C27" s="4">
        <f>C26+$B$6*D26</f>
        <v/>
      </c>
      <c r="D27" s="4">
        <f>$B$3*C27^(3/4)*(1-(C27/$B$4)^(1/4))</f>
        <v/>
      </c>
      <c r="E27" s="4">
        <f>( $B$8 + ($B$9-$B$8)*EXP(-$B$3*B27/(4*$B$8)) )^4</f>
        <v/>
      </c>
      <c r="F27" s="4">
        <f>ABS(C27-E27)</f>
        <v/>
      </c>
    </row>
    <row r="28">
      <c r="A28" s="4">
        <f>A27+1</f>
        <v/>
      </c>
      <c r="B28" s="4">
        <f>B27+$B$6</f>
        <v/>
      </c>
      <c r="C28" s="4">
        <f>C27+$B$6*D27</f>
        <v/>
      </c>
      <c r="D28" s="4">
        <f>$B$3*C28^(3/4)*(1-(C28/$B$4)^(1/4))</f>
        <v/>
      </c>
      <c r="E28" s="4">
        <f>( $B$8 + ($B$9-$B$8)*EXP(-$B$3*B28/(4*$B$8)) )^4</f>
        <v/>
      </c>
      <c r="F28" s="4">
        <f>ABS(C28-E28)</f>
        <v/>
      </c>
    </row>
    <row r="29">
      <c r="A29" s="4">
        <f>A28+1</f>
        <v/>
      </c>
      <c r="B29" s="4">
        <f>B28+$B$6</f>
        <v/>
      </c>
      <c r="C29" s="4">
        <f>C28+$B$6*D28</f>
        <v/>
      </c>
      <c r="D29" s="4">
        <f>$B$3*C29^(3/4)*(1-(C29/$B$4)^(1/4))</f>
        <v/>
      </c>
      <c r="E29" s="4">
        <f>( $B$8 + ($B$9-$B$8)*EXP(-$B$3*B29/(4*$B$8)) )^4</f>
        <v/>
      </c>
      <c r="F29" s="4">
        <f>ABS(C29-E29)</f>
        <v/>
      </c>
    </row>
    <row r="30">
      <c r="A30" s="4">
        <f>A29+1</f>
        <v/>
      </c>
      <c r="B30" s="4">
        <f>B29+$B$6</f>
        <v/>
      </c>
      <c r="C30" s="4">
        <f>C29+$B$6*D29</f>
        <v/>
      </c>
      <c r="D30" s="4">
        <f>$B$3*C30^(3/4)*(1-(C30/$B$4)^(1/4))</f>
        <v/>
      </c>
      <c r="E30" s="4">
        <f>( $B$8 + ($B$9-$B$8)*EXP(-$B$3*B30/(4*$B$8)) )^4</f>
        <v/>
      </c>
      <c r="F30" s="4">
        <f>ABS(C30-E30)</f>
        <v/>
      </c>
    </row>
    <row r="31">
      <c r="A31" s="4">
        <f>A30+1</f>
        <v/>
      </c>
      <c r="B31" s="4">
        <f>B30+$B$6</f>
        <v/>
      </c>
      <c r="C31" s="4">
        <f>C30+$B$6*D30</f>
        <v/>
      </c>
      <c r="D31" s="4">
        <f>$B$3*C31^(3/4)*(1-(C31/$B$4)^(1/4))</f>
        <v/>
      </c>
      <c r="E31" s="4">
        <f>( $B$8 + ($B$9-$B$8)*EXP(-$B$3*B31/(4*$B$8)) )^4</f>
        <v/>
      </c>
      <c r="F31" s="4">
        <f>ABS(C31-E31)</f>
        <v/>
      </c>
    </row>
    <row r="32">
      <c r="A32" s="4">
        <f>A31+1</f>
        <v/>
      </c>
      <c r="B32" s="4">
        <f>B31+$B$6</f>
        <v/>
      </c>
      <c r="C32" s="4">
        <f>C31+$B$6*D31</f>
        <v/>
      </c>
      <c r="D32" s="4">
        <f>$B$3*C32^(3/4)*(1-(C32/$B$4)^(1/4))</f>
        <v/>
      </c>
      <c r="E32" s="4">
        <f>( $B$8 + ($B$9-$B$8)*EXP(-$B$3*B32/(4*$B$8)) )^4</f>
        <v/>
      </c>
      <c r="F32" s="4">
        <f>ABS(C32-E32)</f>
        <v/>
      </c>
    </row>
    <row r="33">
      <c r="A33" s="4">
        <f>A32+1</f>
        <v/>
      </c>
      <c r="B33" s="4">
        <f>B32+$B$6</f>
        <v/>
      </c>
      <c r="C33" s="4">
        <f>C32+$B$6*D32</f>
        <v/>
      </c>
      <c r="D33" s="4">
        <f>$B$3*C33^(3/4)*(1-(C33/$B$4)^(1/4))</f>
        <v/>
      </c>
      <c r="E33" s="4">
        <f>( $B$8 + ($B$9-$B$8)*EXP(-$B$3*B33/(4*$B$8)) )^4</f>
        <v/>
      </c>
      <c r="F33" s="4">
        <f>ABS(C33-E33)</f>
        <v/>
      </c>
    </row>
    <row r="34">
      <c r="A34" s="4">
        <f>A33+1</f>
        <v/>
      </c>
      <c r="B34" s="4">
        <f>B33+$B$6</f>
        <v/>
      </c>
      <c r="C34" s="4">
        <f>C33+$B$6*D33</f>
        <v/>
      </c>
      <c r="D34" s="4">
        <f>$B$3*C34^(3/4)*(1-(C34/$B$4)^(1/4))</f>
        <v/>
      </c>
      <c r="E34" s="4">
        <f>( $B$8 + ($B$9-$B$8)*EXP(-$B$3*B34/(4*$B$8)) )^4</f>
        <v/>
      </c>
      <c r="F34" s="4">
        <f>ABS(C34-E34)</f>
        <v/>
      </c>
    </row>
    <row r="35">
      <c r="A35" s="4">
        <f>A34+1</f>
        <v/>
      </c>
      <c r="B35" s="4">
        <f>B34+$B$6</f>
        <v/>
      </c>
      <c r="C35" s="4">
        <f>C34+$B$6*D34</f>
        <v/>
      </c>
      <c r="D35" s="4">
        <f>$B$3*C35^(3/4)*(1-(C35/$B$4)^(1/4))</f>
        <v/>
      </c>
      <c r="E35" s="4">
        <f>( $B$8 + ($B$9-$B$8)*EXP(-$B$3*B35/(4*$B$8)) )^4</f>
        <v/>
      </c>
      <c r="F35" s="4">
        <f>ABS(C35-E35)</f>
        <v/>
      </c>
    </row>
    <row r="36">
      <c r="A36" s="4">
        <f>A35+1</f>
        <v/>
      </c>
      <c r="B36" s="4">
        <f>B35+$B$6</f>
        <v/>
      </c>
      <c r="C36" s="4">
        <f>C35+$B$6*D35</f>
        <v/>
      </c>
      <c r="D36" s="4">
        <f>$B$3*C36^(3/4)*(1-(C36/$B$4)^(1/4))</f>
        <v/>
      </c>
      <c r="E36" s="4">
        <f>( $B$8 + ($B$9-$B$8)*EXP(-$B$3*B36/(4*$B$8)) )^4</f>
        <v/>
      </c>
      <c r="F36" s="4">
        <f>ABS(C36-E36)</f>
        <v/>
      </c>
    </row>
    <row r="37">
      <c r="A37" s="4">
        <f>A36+1</f>
        <v/>
      </c>
      <c r="B37" s="4">
        <f>B36+$B$6</f>
        <v/>
      </c>
      <c r="C37" s="4">
        <f>C36+$B$6*D36</f>
        <v/>
      </c>
      <c r="D37" s="4">
        <f>$B$3*C37^(3/4)*(1-(C37/$B$4)^(1/4))</f>
        <v/>
      </c>
      <c r="E37" s="4">
        <f>( $B$8 + ($B$9-$B$8)*EXP(-$B$3*B37/(4*$B$8)) )^4</f>
        <v/>
      </c>
      <c r="F37" s="4">
        <f>ABS(C37-E37)</f>
        <v/>
      </c>
    </row>
    <row r="38">
      <c r="A38" s="4">
        <f>A37+1</f>
        <v/>
      </c>
      <c r="B38" s="4">
        <f>B37+$B$6</f>
        <v/>
      </c>
      <c r="C38" s="4">
        <f>C37+$B$6*D37</f>
        <v/>
      </c>
      <c r="D38" s="4">
        <f>$B$3*C38^(3/4)*(1-(C38/$B$4)^(1/4))</f>
        <v/>
      </c>
      <c r="E38" s="4">
        <f>( $B$8 + ($B$9-$B$8)*EXP(-$B$3*B38/(4*$B$8)) )^4</f>
        <v/>
      </c>
      <c r="F38" s="4">
        <f>ABS(C38-E38)</f>
        <v/>
      </c>
    </row>
    <row r="39">
      <c r="A39" s="4">
        <f>A38+1</f>
        <v/>
      </c>
      <c r="B39" s="4">
        <f>B38+$B$6</f>
        <v/>
      </c>
      <c r="C39" s="4">
        <f>C38+$B$6*D38</f>
        <v/>
      </c>
      <c r="D39" s="4">
        <f>$B$3*C39^(3/4)*(1-(C39/$B$4)^(1/4))</f>
        <v/>
      </c>
      <c r="E39" s="4">
        <f>( $B$8 + ($B$9-$B$8)*EXP(-$B$3*B39/(4*$B$8)) )^4</f>
        <v/>
      </c>
      <c r="F39" s="4">
        <f>ABS(C39-E39)</f>
        <v/>
      </c>
    </row>
    <row r="40">
      <c r="A40" s="4">
        <f>A39+1</f>
        <v/>
      </c>
      <c r="B40" s="4">
        <f>B39+$B$6</f>
        <v/>
      </c>
      <c r="C40" s="4">
        <f>C39+$B$6*D39</f>
        <v/>
      </c>
      <c r="D40" s="4">
        <f>$B$3*C40^(3/4)*(1-(C40/$B$4)^(1/4))</f>
        <v/>
      </c>
      <c r="E40" s="4">
        <f>( $B$8 + ($B$9-$B$8)*EXP(-$B$3*B40/(4*$B$8)) )^4</f>
        <v/>
      </c>
      <c r="F40" s="4">
        <f>ABS(C40-E40)</f>
        <v/>
      </c>
    </row>
    <row r="41">
      <c r="A41" s="4">
        <f>A40+1</f>
        <v/>
      </c>
      <c r="B41" s="4">
        <f>B40+$B$6</f>
        <v/>
      </c>
      <c r="C41" s="4">
        <f>C40+$B$6*D40</f>
        <v/>
      </c>
      <c r="D41" s="4">
        <f>$B$3*C41^(3/4)*(1-(C41/$B$4)^(1/4))</f>
        <v/>
      </c>
      <c r="E41" s="4">
        <f>( $B$8 + ($B$9-$B$8)*EXP(-$B$3*B41/(4*$B$8)) )^4</f>
        <v/>
      </c>
      <c r="F41" s="4">
        <f>ABS(C41-E41)</f>
        <v/>
      </c>
    </row>
    <row r="42">
      <c r="A42" s="4">
        <f>A41+1</f>
        <v/>
      </c>
      <c r="B42" s="4">
        <f>B41+$B$6</f>
        <v/>
      </c>
      <c r="C42" s="4">
        <f>C41+$B$6*D41</f>
        <v/>
      </c>
      <c r="D42" s="4">
        <f>$B$3*C42^(3/4)*(1-(C42/$B$4)^(1/4))</f>
        <v/>
      </c>
      <c r="E42" s="4">
        <f>( $B$8 + ($B$9-$B$8)*EXP(-$B$3*B42/(4*$B$8)) )^4</f>
        <v/>
      </c>
      <c r="F42" s="4">
        <f>ABS(C42-E42)</f>
        <v/>
      </c>
    </row>
    <row r="43">
      <c r="A43" s="4">
        <f>A42+1</f>
        <v/>
      </c>
      <c r="B43" s="4">
        <f>B42+$B$6</f>
        <v/>
      </c>
      <c r="C43" s="4">
        <f>C42+$B$6*D42</f>
        <v/>
      </c>
      <c r="D43" s="4">
        <f>$B$3*C43^(3/4)*(1-(C43/$B$4)^(1/4))</f>
        <v/>
      </c>
      <c r="E43" s="4">
        <f>( $B$8 + ($B$9-$B$8)*EXP(-$B$3*B43/(4*$B$8)) )^4</f>
        <v/>
      </c>
      <c r="F43" s="4">
        <f>ABS(C43-E43)</f>
        <v/>
      </c>
    </row>
    <row r="44">
      <c r="A44" s="4">
        <f>A43+1</f>
        <v/>
      </c>
      <c r="B44" s="4">
        <f>B43+$B$6</f>
        <v/>
      </c>
      <c r="C44" s="4">
        <f>C43+$B$6*D43</f>
        <v/>
      </c>
      <c r="D44" s="4">
        <f>$B$3*C44^(3/4)*(1-(C44/$B$4)^(1/4))</f>
        <v/>
      </c>
      <c r="E44" s="4">
        <f>( $B$8 + ($B$9-$B$8)*EXP(-$B$3*B44/(4*$B$8)) )^4</f>
        <v/>
      </c>
      <c r="F44" s="4">
        <f>ABS(C44-E44)</f>
        <v/>
      </c>
    </row>
    <row r="45">
      <c r="A45" s="4">
        <f>A44+1</f>
        <v/>
      </c>
      <c r="B45" s="4">
        <f>B44+$B$6</f>
        <v/>
      </c>
      <c r="C45" s="4">
        <f>C44+$B$6*D44</f>
        <v/>
      </c>
      <c r="D45" s="4">
        <f>$B$3*C45^(3/4)*(1-(C45/$B$4)^(1/4))</f>
        <v/>
      </c>
      <c r="E45" s="4">
        <f>( $B$8 + ($B$9-$B$8)*EXP(-$B$3*B45/(4*$B$8)) )^4</f>
        <v/>
      </c>
      <c r="F45" s="4">
        <f>ABS(C45-E45)</f>
        <v/>
      </c>
    </row>
    <row r="46">
      <c r="A46" s="4">
        <f>A45+1</f>
        <v/>
      </c>
      <c r="B46" s="4">
        <f>B45+$B$6</f>
        <v/>
      </c>
      <c r="C46" s="4">
        <f>C45+$B$6*D45</f>
        <v/>
      </c>
      <c r="D46" s="4">
        <f>$B$3*C46^(3/4)*(1-(C46/$B$4)^(1/4))</f>
        <v/>
      </c>
      <c r="E46" s="4">
        <f>( $B$8 + ($B$9-$B$8)*EXP(-$B$3*B46/(4*$B$8)) )^4</f>
        <v/>
      </c>
      <c r="F46" s="4">
        <f>ABS(C46-E46)</f>
        <v/>
      </c>
    </row>
    <row r="47">
      <c r="A47" s="4">
        <f>A46+1</f>
        <v/>
      </c>
      <c r="B47" s="4">
        <f>B46+$B$6</f>
        <v/>
      </c>
      <c r="C47" s="4">
        <f>C46+$B$6*D46</f>
        <v/>
      </c>
      <c r="D47" s="4">
        <f>$B$3*C47^(3/4)*(1-(C47/$B$4)^(1/4))</f>
        <v/>
      </c>
      <c r="E47" s="4">
        <f>( $B$8 + ($B$9-$B$8)*EXP(-$B$3*B47/(4*$B$8)) )^4</f>
        <v/>
      </c>
      <c r="F47" s="4">
        <f>ABS(C47-E47)</f>
        <v/>
      </c>
    </row>
    <row r="48">
      <c r="A48" s="4">
        <f>A47+1</f>
        <v/>
      </c>
      <c r="B48" s="4">
        <f>B47+$B$6</f>
        <v/>
      </c>
      <c r="C48" s="4">
        <f>C47+$B$6*D47</f>
        <v/>
      </c>
      <c r="D48" s="4">
        <f>$B$3*C48^(3/4)*(1-(C48/$B$4)^(1/4))</f>
        <v/>
      </c>
      <c r="E48" s="4">
        <f>( $B$8 + ($B$9-$B$8)*EXP(-$B$3*B48/(4*$B$8)) )^4</f>
        <v/>
      </c>
      <c r="F48" s="4">
        <f>ABS(C48-E48)</f>
        <v/>
      </c>
    </row>
    <row r="49">
      <c r="A49" s="4">
        <f>A48+1</f>
        <v/>
      </c>
      <c r="B49" s="4">
        <f>B48+$B$6</f>
        <v/>
      </c>
      <c r="C49" s="4">
        <f>C48+$B$6*D48</f>
        <v/>
      </c>
      <c r="D49" s="4">
        <f>$B$3*C49^(3/4)*(1-(C49/$B$4)^(1/4))</f>
        <v/>
      </c>
      <c r="E49" s="4">
        <f>( $B$8 + ($B$9-$B$8)*EXP(-$B$3*B49/(4*$B$8)) )^4</f>
        <v/>
      </c>
      <c r="F49" s="4">
        <f>ABS(C49-E49)</f>
        <v/>
      </c>
    </row>
    <row r="50">
      <c r="A50" s="4">
        <f>A49+1</f>
        <v/>
      </c>
      <c r="B50" s="4">
        <f>B49+$B$6</f>
        <v/>
      </c>
      <c r="C50" s="4">
        <f>C49+$B$6*D49</f>
        <v/>
      </c>
      <c r="D50" s="4">
        <f>$B$3*C50^(3/4)*(1-(C50/$B$4)^(1/4))</f>
        <v/>
      </c>
      <c r="E50" s="4">
        <f>( $B$8 + ($B$9-$B$8)*EXP(-$B$3*B50/(4*$B$8)) )^4</f>
        <v/>
      </c>
      <c r="F50" s="4">
        <f>ABS(C50-E50)</f>
        <v/>
      </c>
    </row>
    <row r="51">
      <c r="A51" s="4">
        <f>A50+1</f>
        <v/>
      </c>
      <c r="B51" s="4">
        <f>B50+$B$6</f>
        <v/>
      </c>
      <c r="C51" s="4">
        <f>C50+$B$6*D50</f>
        <v/>
      </c>
      <c r="D51" s="4">
        <f>$B$3*C51^(3/4)*(1-(C51/$B$4)^(1/4))</f>
        <v/>
      </c>
      <c r="E51" s="4">
        <f>( $B$8 + ($B$9-$B$8)*EXP(-$B$3*B51/(4*$B$8)) )^4</f>
        <v/>
      </c>
      <c r="F51" s="4">
        <f>ABS(C51-E51)</f>
        <v/>
      </c>
    </row>
    <row r="52">
      <c r="A52" s="4">
        <f>A51+1</f>
        <v/>
      </c>
      <c r="B52" s="4">
        <f>B51+$B$6</f>
        <v/>
      </c>
      <c r="C52" s="4">
        <f>C51+$B$6*D51</f>
        <v/>
      </c>
      <c r="D52" s="4">
        <f>$B$3*C52^(3/4)*(1-(C52/$B$4)^(1/4))</f>
        <v/>
      </c>
      <c r="E52" s="4">
        <f>( $B$8 + ($B$9-$B$8)*EXP(-$B$3*B52/(4*$B$8)) )^4</f>
        <v/>
      </c>
      <c r="F52" s="4">
        <f>ABS(C52-E52)</f>
        <v/>
      </c>
    </row>
    <row r="53">
      <c r="A53" s="4">
        <f>A52+1</f>
        <v/>
      </c>
      <c r="B53" s="4">
        <f>B52+$B$6</f>
        <v/>
      </c>
      <c r="C53" s="4">
        <f>C52+$B$6*D52</f>
        <v/>
      </c>
      <c r="D53" s="4">
        <f>$B$3*C53^(3/4)*(1-(C53/$B$4)^(1/4))</f>
        <v/>
      </c>
      <c r="E53" s="4">
        <f>( $B$8 + ($B$9-$B$8)*EXP(-$B$3*B53/(4*$B$8)) )^4</f>
        <v/>
      </c>
      <c r="F53" s="4">
        <f>ABS(C53-E53)</f>
        <v/>
      </c>
    </row>
    <row r="54">
      <c r="A54" s="4">
        <f>A53+1</f>
        <v/>
      </c>
      <c r="B54" s="4">
        <f>B53+$B$6</f>
        <v/>
      </c>
      <c r="C54" s="4">
        <f>C53+$B$6*D53</f>
        <v/>
      </c>
      <c r="D54" s="4">
        <f>$B$3*C54^(3/4)*(1-(C54/$B$4)^(1/4))</f>
        <v/>
      </c>
      <c r="E54" s="4">
        <f>( $B$8 + ($B$9-$B$8)*EXP(-$B$3*B54/(4*$B$8)) )^4</f>
        <v/>
      </c>
      <c r="F54" s="4">
        <f>ABS(C54-E54)</f>
        <v/>
      </c>
    </row>
    <row r="55">
      <c r="A55" s="4">
        <f>A54+1</f>
        <v/>
      </c>
      <c r="B55" s="4">
        <f>B54+$B$6</f>
        <v/>
      </c>
      <c r="C55" s="4">
        <f>C54+$B$6*D54</f>
        <v/>
      </c>
      <c r="D55" s="4">
        <f>$B$3*C55^(3/4)*(1-(C55/$B$4)^(1/4))</f>
        <v/>
      </c>
      <c r="E55" s="4">
        <f>( $B$8 + ($B$9-$B$8)*EXP(-$B$3*B55/(4*$B$8)) )^4</f>
        <v/>
      </c>
      <c r="F55" s="4">
        <f>ABS(C55-E55)</f>
        <v/>
      </c>
    </row>
    <row r="56">
      <c r="A56" s="4">
        <f>A55+1</f>
        <v/>
      </c>
      <c r="B56" s="4">
        <f>B55+$B$6</f>
        <v/>
      </c>
      <c r="C56" s="4">
        <f>C55+$B$6*D55</f>
        <v/>
      </c>
      <c r="D56" s="4">
        <f>$B$3*C56^(3/4)*(1-(C56/$B$4)^(1/4))</f>
        <v/>
      </c>
      <c r="E56" s="4">
        <f>( $B$8 + ($B$9-$B$8)*EXP(-$B$3*B56/(4*$B$8)) )^4</f>
        <v/>
      </c>
      <c r="F56" s="4">
        <f>ABS(C56-E56)</f>
        <v/>
      </c>
    </row>
    <row r="57">
      <c r="A57" s="4">
        <f>A56+1</f>
        <v/>
      </c>
      <c r="B57" s="4">
        <f>B56+$B$6</f>
        <v/>
      </c>
      <c r="C57" s="4">
        <f>C56+$B$6*D56</f>
        <v/>
      </c>
      <c r="D57" s="4">
        <f>$B$3*C57^(3/4)*(1-(C57/$B$4)^(1/4))</f>
        <v/>
      </c>
      <c r="E57" s="4">
        <f>( $B$8 + ($B$9-$B$8)*EXP(-$B$3*B57/(4*$B$8)) )^4</f>
        <v/>
      </c>
      <c r="F57" s="4">
        <f>ABS(C57-E57)</f>
        <v/>
      </c>
    </row>
    <row r="58">
      <c r="A58" s="4">
        <f>A57+1</f>
        <v/>
      </c>
      <c r="B58" s="4">
        <f>B57+$B$6</f>
        <v/>
      </c>
      <c r="C58" s="4">
        <f>C57+$B$6*D57</f>
        <v/>
      </c>
      <c r="D58" s="4">
        <f>$B$3*C58^(3/4)*(1-(C58/$B$4)^(1/4))</f>
        <v/>
      </c>
      <c r="E58" s="4">
        <f>( $B$8 + ($B$9-$B$8)*EXP(-$B$3*B58/(4*$B$8)) )^4</f>
        <v/>
      </c>
      <c r="F58" s="4">
        <f>ABS(C58-E58)</f>
        <v/>
      </c>
    </row>
    <row r="59">
      <c r="A59" s="4">
        <f>A58+1</f>
        <v/>
      </c>
      <c r="B59" s="4">
        <f>B58+$B$6</f>
        <v/>
      </c>
      <c r="C59" s="4">
        <f>C58+$B$6*D58</f>
        <v/>
      </c>
      <c r="D59" s="4">
        <f>$B$3*C59^(3/4)*(1-(C59/$B$4)^(1/4))</f>
        <v/>
      </c>
      <c r="E59" s="4">
        <f>( $B$8 + ($B$9-$B$8)*EXP(-$B$3*B59/(4*$B$8)) )^4</f>
        <v/>
      </c>
      <c r="F59" s="4">
        <f>ABS(C59-E59)</f>
        <v/>
      </c>
    </row>
    <row r="60">
      <c r="A60" s="4">
        <f>A59+1</f>
        <v/>
      </c>
      <c r="B60" s="4">
        <f>B59+$B$6</f>
        <v/>
      </c>
      <c r="C60" s="4">
        <f>C59+$B$6*D59</f>
        <v/>
      </c>
      <c r="D60" s="4">
        <f>$B$3*C60^(3/4)*(1-(C60/$B$4)^(1/4))</f>
        <v/>
      </c>
      <c r="E60" s="4">
        <f>( $B$8 + ($B$9-$B$8)*EXP(-$B$3*B60/(4*$B$8)) )^4</f>
        <v/>
      </c>
      <c r="F60" s="4">
        <f>ABS(C60-E60)</f>
        <v/>
      </c>
    </row>
    <row r="61">
      <c r="A61" s="4">
        <f>A60+1</f>
        <v/>
      </c>
      <c r="B61" s="4">
        <f>B60+$B$6</f>
        <v/>
      </c>
      <c r="C61" s="4">
        <f>C60+$B$6*D60</f>
        <v/>
      </c>
      <c r="D61" s="4">
        <f>$B$3*C61^(3/4)*(1-(C61/$B$4)^(1/4))</f>
        <v/>
      </c>
      <c r="E61" s="4">
        <f>( $B$8 + ($B$9-$B$8)*EXP(-$B$3*B61/(4*$B$8)) )^4</f>
        <v/>
      </c>
      <c r="F61" s="4">
        <f>ABS(C61-E61)</f>
        <v/>
      </c>
    </row>
    <row r="62">
      <c r="A62" s="4">
        <f>A61+1</f>
        <v/>
      </c>
      <c r="B62" s="4">
        <f>B61+$B$6</f>
        <v/>
      </c>
      <c r="C62" s="4">
        <f>C61+$B$6*D61</f>
        <v/>
      </c>
      <c r="D62" s="4">
        <f>$B$3*C62^(3/4)*(1-(C62/$B$4)^(1/4))</f>
        <v/>
      </c>
      <c r="E62" s="4">
        <f>( $B$8 + ($B$9-$B$8)*EXP(-$B$3*B62/(4*$B$8)) )^4</f>
        <v/>
      </c>
      <c r="F62" s="4">
        <f>ABS(C62-E62)</f>
        <v/>
      </c>
    </row>
    <row r="63">
      <c r="A63" s="4">
        <f>A62+1</f>
        <v/>
      </c>
      <c r="B63" s="4">
        <f>B62+$B$6</f>
        <v/>
      </c>
      <c r="C63" s="4">
        <f>C62+$B$6*D62</f>
        <v/>
      </c>
      <c r="D63" s="4">
        <f>$B$3*C63^(3/4)*(1-(C63/$B$4)^(1/4))</f>
        <v/>
      </c>
      <c r="E63" s="4">
        <f>( $B$8 + ($B$9-$B$8)*EXP(-$B$3*B63/(4*$B$8)) )^4</f>
        <v/>
      </c>
      <c r="F63" s="4">
        <f>ABS(C63-E63)</f>
        <v/>
      </c>
    </row>
    <row r="64">
      <c r="A64" s="4">
        <f>A63+1</f>
        <v/>
      </c>
      <c r="B64" s="4">
        <f>B63+$B$6</f>
        <v/>
      </c>
      <c r="C64" s="4">
        <f>C63+$B$6*D63</f>
        <v/>
      </c>
      <c r="D64" s="4">
        <f>$B$3*C64^(3/4)*(1-(C64/$B$4)^(1/4))</f>
        <v/>
      </c>
      <c r="E64" s="4">
        <f>( $B$8 + ($B$9-$B$8)*EXP(-$B$3*B64/(4*$B$8)) )^4</f>
        <v/>
      </c>
      <c r="F64" s="4">
        <f>ABS(C64-E64)</f>
        <v/>
      </c>
    </row>
    <row r="65">
      <c r="A65" s="4">
        <f>A64+1</f>
        <v/>
      </c>
      <c r="B65" s="4">
        <f>B64+$B$6</f>
        <v/>
      </c>
      <c r="C65" s="4">
        <f>C64+$B$6*D64</f>
        <v/>
      </c>
      <c r="D65" s="4">
        <f>$B$3*C65^(3/4)*(1-(C65/$B$4)^(1/4))</f>
        <v/>
      </c>
      <c r="E65" s="4">
        <f>( $B$8 + ($B$9-$B$8)*EXP(-$B$3*B65/(4*$B$8)) )^4</f>
        <v/>
      </c>
      <c r="F65" s="4">
        <f>ABS(C65-E65)</f>
        <v/>
      </c>
    </row>
    <row r="66">
      <c r="A66" s="4">
        <f>A65+1</f>
        <v/>
      </c>
      <c r="B66" s="4">
        <f>B65+$B$6</f>
        <v/>
      </c>
      <c r="C66" s="4">
        <f>C65+$B$6*D65</f>
        <v/>
      </c>
      <c r="D66" s="4">
        <f>$B$3*C66^(3/4)*(1-(C66/$B$4)^(1/4))</f>
        <v/>
      </c>
      <c r="E66" s="4">
        <f>( $B$8 + ($B$9-$B$8)*EXP(-$B$3*B66/(4*$B$8)) )^4</f>
        <v/>
      </c>
      <c r="F66" s="4">
        <f>ABS(C66-E66)</f>
        <v/>
      </c>
    </row>
    <row r="67">
      <c r="A67" s="4">
        <f>A66+1</f>
        <v/>
      </c>
      <c r="B67" s="4">
        <f>B66+$B$6</f>
        <v/>
      </c>
      <c r="C67" s="4">
        <f>C66+$B$6*D66</f>
        <v/>
      </c>
      <c r="D67" s="4">
        <f>$B$3*C67^(3/4)*(1-(C67/$B$4)^(1/4))</f>
        <v/>
      </c>
      <c r="E67" s="4">
        <f>( $B$8 + ($B$9-$B$8)*EXP(-$B$3*B67/(4*$B$8)) )^4</f>
        <v/>
      </c>
      <c r="F67" s="4">
        <f>ABS(C67-E67)</f>
        <v/>
      </c>
    </row>
    <row r="68">
      <c r="A68" s="4">
        <f>A67+1</f>
        <v/>
      </c>
      <c r="B68" s="4">
        <f>B67+$B$6</f>
        <v/>
      </c>
      <c r="C68" s="4">
        <f>C67+$B$6*D67</f>
        <v/>
      </c>
      <c r="D68" s="4">
        <f>$B$3*C68^(3/4)*(1-(C68/$B$4)^(1/4))</f>
        <v/>
      </c>
      <c r="E68" s="4">
        <f>( $B$8 + ($B$9-$B$8)*EXP(-$B$3*B68/(4*$B$8)) )^4</f>
        <v/>
      </c>
      <c r="F68" s="4">
        <f>ABS(C68-E68)</f>
        <v/>
      </c>
    </row>
    <row r="69">
      <c r="A69" s="4">
        <f>A68+1</f>
        <v/>
      </c>
      <c r="B69" s="4">
        <f>B68+$B$6</f>
        <v/>
      </c>
      <c r="C69" s="4">
        <f>C68+$B$6*D68</f>
        <v/>
      </c>
      <c r="D69" s="4">
        <f>$B$3*C69^(3/4)*(1-(C69/$B$4)^(1/4))</f>
        <v/>
      </c>
      <c r="E69" s="4">
        <f>( $B$8 + ($B$9-$B$8)*EXP(-$B$3*B69/(4*$B$8)) )^4</f>
        <v/>
      </c>
      <c r="F69" s="4">
        <f>ABS(C69-E69)</f>
        <v/>
      </c>
    </row>
    <row r="70">
      <c r="A70" s="4">
        <f>A69+1</f>
        <v/>
      </c>
      <c r="B70" s="4">
        <f>B69+$B$6</f>
        <v/>
      </c>
      <c r="C70" s="4">
        <f>C69+$B$6*D69</f>
        <v/>
      </c>
      <c r="D70" s="4">
        <f>$B$3*C70^(3/4)*(1-(C70/$B$4)^(1/4))</f>
        <v/>
      </c>
      <c r="E70" s="4">
        <f>( $B$8 + ($B$9-$B$8)*EXP(-$B$3*B70/(4*$B$8)) )^4</f>
        <v/>
      </c>
      <c r="F70" s="4">
        <f>ABS(C70-E70)</f>
        <v/>
      </c>
    </row>
    <row r="71">
      <c r="A71" s="4">
        <f>A70+1</f>
        <v/>
      </c>
      <c r="B71" s="4">
        <f>B70+$B$6</f>
        <v/>
      </c>
      <c r="C71" s="4">
        <f>C70+$B$6*D70</f>
        <v/>
      </c>
      <c r="D71" s="4">
        <f>$B$3*C71^(3/4)*(1-(C71/$B$4)^(1/4))</f>
        <v/>
      </c>
      <c r="E71" s="4">
        <f>( $B$8 + ($B$9-$B$8)*EXP(-$B$3*B71/(4*$B$8)) )^4</f>
        <v/>
      </c>
      <c r="F71" s="4">
        <f>ABS(C71-E71)</f>
        <v/>
      </c>
    </row>
    <row r="72">
      <c r="A72" s="4">
        <f>A71+1</f>
        <v/>
      </c>
      <c r="B72" s="4">
        <f>B71+$B$6</f>
        <v/>
      </c>
      <c r="C72" s="4">
        <f>C71+$B$6*D71</f>
        <v/>
      </c>
      <c r="D72" s="4">
        <f>$B$3*C72^(3/4)*(1-(C72/$B$4)^(1/4))</f>
        <v/>
      </c>
      <c r="E72" s="4">
        <f>( $B$8 + ($B$9-$B$8)*EXP(-$B$3*B72/(4*$B$8)) )^4</f>
        <v/>
      </c>
      <c r="F72" s="4">
        <f>ABS(C72-E72)</f>
        <v/>
      </c>
    </row>
    <row r="73">
      <c r="A73" s="4">
        <f>A72+1</f>
        <v/>
      </c>
      <c r="B73" s="4">
        <f>B72+$B$6</f>
        <v/>
      </c>
      <c r="C73" s="4">
        <f>C72+$B$6*D72</f>
        <v/>
      </c>
      <c r="D73" s="4">
        <f>$B$3*C73^(3/4)*(1-(C73/$B$4)^(1/4))</f>
        <v/>
      </c>
      <c r="E73" s="4">
        <f>( $B$8 + ($B$9-$B$8)*EXP(-$B$3*B73/(4*$B$8)) )^4</f>
        <v/>
      </c>
      <c r="F73" s="4">
        <f>ABS(C73-E73)</f>
        <v/>
      </c>
    </row>
    <row r="74">
      <c r="A74" s="4">
        <f>A73+1</f>
        <v/>
      </c>
      <c r="B74" s="4">
        <f>B73+$B$6</f>
        <v/>
      </c>
      <c r="C74" s="4">
        <f>C73+$B$6*D73</f>
        <v/>
      </c>
      <c r="D74" s="4">
        <f>$B$3*C74^(3/4)*(1-(C74/$B$4)^(1/4))</f>
        <v/>
      </c>
      <c r="E74" s="4">
        <f>( $B$8 + ($B$9-$B$8)*EXP(-$B$3*B74/(4*$B$8)) )^4</f>
        <v/>
      </c>
      <c r="F74" s="4">
        <f>ABS(C74-E74)</f>
        <v/>
      </c>
    </row>
    <row r="75">
      <c r="A75" s="4">
        <f>A74+1</f>
        <v/>
      </c>
      <c r="B75" s="4">
        <f>B74+$B$6</f>
        <v/>
      </c>
      <c r="C75" s="4">
        <f>C74+$B$6*D74</f>
        <v/>
      </c>
      <c r="D75" s="4">
        <f>$B$3*C75^(3/4)*(1-(C75/$B$4)^(1/4))</f>
        <v/>
      </c>
      <c r="E75" s="4">
        <f>( $B$8 + ($B$9-$B$8)*EXP(-$B$3*B75/(4*$B$8)) )^4</f>
        <v/>
      </c>
      <c r="F75" s="4">
        <f>ABS(C75-E75)</f>
        <v/>
      </c>
    </row>
    <row r="76">
      <c r="A76" s="4">
        <f>A75+1</f>
        <v/>
      </c>
      <c r="B76" s="4">
        <f>B75+$B$6</f>
        <v/>
      </c>
      <c r="C76" s="4">
        <f>C75+$B$6*D75</f>
        <v/>
      </c>
      <c r="D76" s="4">
        <f>$B$3*C76^(3/4)*(1-(C76/$B$4)^(1/4))</f>
        <v/>
      </c>
      <c r="E76" s="4">
        <f>( $B$8 + ($B$9-$B$8)*EXP(-$B$3*B76/(4*$B$8)) )^4</f>
        <v/>
      </c>
      <c r="F76" s="4">
        <f>ABS(C76-E76)</f>
        <v/>
      </c>
    </row>
    <row r="77">
      <c r="A77" s="4">
        <f>A76+1</f>
        <v/>
      </c>
      <c r="B77" s="4">
        <f>B76+$B$6</f>
        <v/>
      </c>
      <c r="C77" s="4">
        <f>C76+$B$6*D76</f>
        <v/>
      </c>
      <c r="D77" s="4">
        <f>$B$3*C77^(3/4)*(1-(C77/$B$4)^(1/4))</f>
        <v/>
      </c>
      <c r="E77" s="4">
        <f>( $B$8 + ($B$9-$B$8)*EXP(-$B$3*B77/(4*$B$8)) )^4</f>
        <v/>
      </c>
      <c r="F77" s="4">
        <f>ABS(C77-E77)</f>
        <v/>
      </c>
    </row>
    <row r="78">
      <c r="A78" s="4">
        <f>A77+1</f>
        <v/>
      </c>
      <c r="B78" s="4">
        <f>B77+$B$6</f>
        <v/>
      </c>
      <c r="C78" s="4">
        <f>C77+$B$6*D77</f>
        <v/>
      </c>
      <c r="D78" s="4">
        <f>$B$3*C78^(3/4)*(1-(C78/$B$4)^(1/4))</f>
        <v/>
      </c>
      <c r="E78" s="4">
        <f>( $B$8 + ($B$9-$B$8)*EXP(-$B$3*B78/(4*$B$8)) )^4</f>
        <v/>
      </c>
      <c r="F78" s="4">
        <f>ABS(C78-E78)</f>
        <v/>
      </c>
    </row>
    <row r="79">
      <c r="A79" s="4">
        <f>A78+1</f>
        <v/>
      </c>
      <c r="B79" s="4">
        <f>B78+$B$6</f>
        <v/>
      </c>
      <c r="C79" s="4">
        <f>C78+$B$6*D78</f>
        <v/>
      </c>
      <c r="D79" s="4">
        <f>$B$3*C79^(3/4)*(1-(C79/$B$4)^(1/4))</f>
        <v/>
      </c>
      <c r="E79" s="4">
        <f>( $B$8 + ($B$9-$B$8)*EXP(-$B$3*B79/(4*$B$8)) )^4</f>
        <v/>
      </c>
      <c r="F79" s="4">
        <f>ABS(C79-E79)</f>
        <v/>
      </c>
    </row>
    <row r="80">
      <c r="A80" s="4">
        <f>A79+1</f>
        <v/>
      </c>
      <c r="B80" s="4">
        <f>B79+$B$6</f>
        <v/>
      </c>
      <c r="C80" s="4">
        <f>C79+$B$6*D79</f>
        <v/>
      </c>
      <c r="D80" s="4">
        <f>$B$3*C80^(3/4)*(1-(C80/$B$4)^(1/4))</f>
        <v/>
      </c>
      <c r="E80" s="4">
        <f>( $B$8 + ($B$9-$B$8)*EXP(-$B$3*B80/(4*$B$8)) )^4</f>
        <v/>
      </c>
      <c r="F80" s="4">
        <f>ABS(C80-E80)</f>
        <v/>
      </c>
    </row>
    <row r="81">
      <c r="A81" s="4">
        <f>A80+1</f>
        <v/>
      </c>
      <c r="B81" s="4">
        <f>B80+$B$6</f>
        <v/>
      </c>
      <c r="C81" s="4">
        <f>C80+$B$6*D80</f>
        <v/>
      </c>
      <c r="D81" s="4">
        <f>$B$3*C81^(3/4)*(1-(C81/$B$4)^(1/4))</f>
        <v/>
      </c>
      <c r="E81" s="4">
        <f>( $B$8 + ($B$9-$B$8)*EXP(-$B$3*B81/(4*$B$8)) )^4</f>
        <v/>
      </c>
      <c r="F81" s="4">
        <f>ABS(C81-E81)</f>
        <v/>
      </c>
    </row>
    <row r="82">
      <c r="A82" s="4">
        <f>A81+1</f>
        <v/>
      </c>
      <c r="B82" s="4">
        <f>B81+$B$6</f>
        <v/>
      </c>
      <c r="C82" s="4">
        <f>C81+$B$6*D81</f>
        <v/>
      </c>
      <c r="D82" s="4">
        <f>$B$3*C82^(3/4)*(1-(C82/$B$4)^(1/4))</f>
        <v/>
      </c>
      <c r="E82" s="4">
        <f>( $B$8 + ($B$9-$B$8)*EXP(-$B$3*B82/(4*$B$8)) )^4</f>
        <v/>
      </c>
      <c r="F82" s="4">
        <f>ABS(C82-E82)</f>
        <v/>
      </c>
    </row>
    <row r="83">
      <c r="A83" s="4">
        <f>A82+1</f>
        <v/>
      </c>
      <c r="B83" s="4">
        <f>B82+$B$6</f>
        <v/>
      </c>
      <c r="C83" s="4">
        <f>C82+$B$6*D82</f>
        <v/>
      </c>
      <c r="D83" s="4">
        <f>$B$3*C83^(3/4)*(1-(C83/$B$4)^(1/4))</f>
        <v/>
      </c>
      <c r="E83" s="4">
        <f>( $B$8 + ($B$9-$B$8)*EXP(-$B$3*B83/(4*$B$8)) )^4</f>
        <v/>
      </c>
      <c r="F83" s="4">
        <f>ABS(C83-E83)</f>
        <v/>
      </c>
    </row>
    <row r="84">
      <c r="A84" s="4">
        <f>A83+1</f>
        <v/>
      </c>
      <c r="B84" s="4">
        <f>B83+$B$6</f>
        <v/>
      </c>
      <c r="C84" s="4">
        <f>C83+$B$6*D83</f>
        <v/>
      </c>
      <c r="D84" s="4">
        <f>$B$3*C84^(3/4)*(1-(C84/$B$4)^(1/4))</f>
        <v/>
      </c>
      <c r="E84" s="4">
        <f>( $B$8 + ($B$9-$B$8)*EXP(-$B$3*B84/(4*$B$8)) )^4</f>
        <v/>
      </c>
      <c r="F84" s="4">
        <f>ABS(C84-E84)</f>
        <v/>
      </c>
    </row>
    <row r="85">
      <c r="A85" s="4">
        <f>A84+1</f>
        <v/>
      </c>
      <c r="B85" s="4">
        <f>B84+$B$6</f>
        <v/>
      </c>
      <c r="C85" s="4">
        <f>C84+$B$6*D84</f>
        <v/>
      </c>
      <c r="D85" s="4">
        <f>$B$3*C85^(3/4)*(1-(C85/$B$4)^(1/4))</f>
        <v/>
      </c>
      <c r="E85" s="4">
        <f>( $B$8 + ($B$9-$B$8)*EXP(-$B$3*B85/(4*$B$8)) )^4</f>
        <v/>
      </c>
      <c r="F85" s="4">
        <f>ABS(C85-E85)</f>
        <v/>
      </c>
    </row>
    <row r="86">
      <c r="A86" s="4">
        <f>A85+1</f>
        <v/>
      </c>
      <c r="B86" s="4">
        <f>B85+$B$6</f>
        <v/>
      </c>
      <c r="C86" s="4">
        <f>C85+$B$6*D85</f>
        <v/>
      </c>
      <c r="D86" s="4">
        <f>$B$3*C86^(3/4)*(1-(C86/$B$4)^(1/4))</f>
        <v/>
      </c>
      <c r="E86" s="4">
        <f>( $B$8 + ($B$9-$B$8)*EXP(-$B$3*B86/(4*$B$8)) )^4</f>
        <v/>
      </c>
      <c r="F86" s="4">
        <f>ABS(C86-E86)</f>
        <v/>
      </c>
    </row>
    <row r="87">
      <c r="A87" s="4">
        <f>A86+1</f>
        <v/>
      </c>
      <c r="B87" s="4">
        <f>B86+$B$6</f>
        <v/>
      </c>
      <c r="C87" s="4">
        <f>C86+$B$6*D86</f>
        <v/>
      </c>
      <c r="D87" s="4">
        <f>$B$3*C87^(3/4)*(1-(C87/$B$4)^(1/4))</f>
        <v/>
      </c>
      <c r="E87" s="4">
        <f>( $B$8 + ($B$9-$B$8)*EXP(-$B$3*B87/(4*$B$8)) )^4</f>
        <v/>
      </c>
      <c r="F87" s="4">
        <f>ABS(C87-E87)</f>
        <v/>
      </c>
    </row>
    <row r="88">
      <c r="A88" s="4">
        <f>A87+1</f>
        <v/>
      </c>
      <c r="B88" s="4">
        <f>B87+$B$6</f>
        <v/>
      </c>
      <c r="C88" s="4">
        <f>C87+$B$6*D87</f>
        <v/>
      </c>
      <c r="D88" s="4">
        <f>$B$3*C88^(3/4)*(1-(C88/$B$4)^(1/4))</f>
        <v/>
      </c>
      <c r="E88" s="4">
        <f>( $B$8 + ($B$9-$B$8)*EXP(-$B$3*B88/(4*$B$8)) )^4</f>
        <v/>
      </c>
      <c r="F88" s="4">
        <f>ABS(C88-E88)</f>
        <v/>
      </c>
    </row>
    <row r="89">
      <c r="A89" s="4">
        <f>A88+1</f>
        <v/>
      </c>
      <c r="B89" s="4">
        <f>B88+$B$6</f>
        <v/>
      </c>
      <c r="C89" s="4">
        <f>C88+$B$6*D88</f>
        <v/>
      </c>
      <c r="D89" s="4">
        <f>$B$3*C89^(3/4)*(1-(C89/$B$4)^(1/4))</f>
        <v/>
      </c>
      <c r="E89" s="4">
        <f>( $B$8 + ($B$9-$B$8)*EXP(-$B$3*B89/(4*$B$8)) )^4</f>
        <v/>
      </c>
      <c r="F89" s="4">
        <f>ABS(C89-E89)</f>
        <v/>
      </c>
    </row>
    <row r="90">
      <c r="A90" s="4">
        <f>A89+1</f>
        <v/>
      </c>
      <c r="B90" s="4">
        <f>B89+$B$6</f>
        <v/>
      </c>
      <c r="C90" s="4">
        <f>C89+$B$6*D89</f>
        <v/>
      </c>
      <c r="D90" s="4">
        <f>$B$3*C90^(3/4)*(1-(C90/$B$4)^(1/4))</f>
        <v/>
      </c>
      <c r="E90" s="4">
        <f>( $B$8 + ($B$9-$B$8)*EXP(-$B$3*B90/(4*$B$8)) )^4</f>
        <v/>
      </c>
      <c r="F90" s="4">
        <f>ABS(C90-E90)</f>
        <v/>
      </c>
    </row>
    <row r="91">
      <c r="A91" s="4">
        <f>A90+1</f>
        <v/>
      </c>
      <c r="B91" s="4">
        <f>B90+$B$6</f>
        <v/>
      </c>
      <c r="C91" s="4">
        <f>C90+$B$6*D90</f>
        <v/>
      </c>
      <c r="D91" s="4">
        <f>$B$3*C91^(3/4)*(1-(C91/$B$4)^(1/4))</f>
        <v/>
      </c>
      <c r="E91" s="4">
        <f>( $B$8 + ($B$9-$B$8)*EXP(-$B$3*B91/(4*$B$8)) )^4</f>
        <v/>
      </c>
      <c r="F91" s="4">
        <f>ABS(C91-E91)</f>
        <v/>
      </c>
    </row>
    <row r="92">
      <c r="A92" s="4">
        <f>A91+1</f>
        <v/>
      </c>
      <c r="B92" s="4">
        <f>B91+$B$6</f>
        <v/>
      </c>
      <c r="C92" s="4">
        <f>C91+$B$6*D91</f>
        <v/>
      </c>
      <c r="D92" s="4">
        <f>$B$3*C92^(3/4)*(1-(C92/$B$4)^(1/4))</f>
        <v/>
      </c>
      <c r="E92" s="4">
        <f>( $B$8 + ($B$9-$B$8)*EXP(-$B$3*B92/(4*$B$8)) )^4</f>
        <v/>
      </c>
      <c r="F92" s="4">
        <f>ABS(C92-E92)</f>
        <v/>
      </c>
    </row>
    <row r="93">
      <c r="A93" s="4">
        <f>A92+1</f>
        <v/>
      </c>
      <c r="B93" s="4">
        <f>B92+$B$6</f>
        <v/>
      </c>
      <c r="C93" s="4">
        <f>C92+$B$6*D92</f>
        <v/>
      </c>
      <c r="D93" s="4">
        <f>$B$3*C93^(3/4)*(1-(C93/$B$4)^(1/4))</f>
        <v/>
      </c>
      <c r="E93" s="4">
        <f>( $B$8 + ($B$9-$B$8)*EXP(-$B$3*B93/(4*$B$8)) )^4</f>
        <v/>
      </c>
      <c r="F93" s="4">
        <f>ABS(C93-E93)</f>
        <v/>
      </c>
    </row>
    <row r="94">
      <c r="A94" s="4">
        <f>A93+1</f>
        <v/>
      </c>
      <c r="B94" s="4">
        <f>B93+$B$6</f>
        <v/>
      </c>
      <c r="C94" s="4">
        <f>C93+$B$6*D93</f>
        <v/>
      </c>
      <c r="D94" s="4">
        <f>$B$3*C94^(3/4)*(1-(C94/$B$4)^(1/4))</f>
        <v/>
      </c>
      <c r="E94" s="4">
        <f>( $B$8 + ($B$9-$B$8)*EXP(-$B$3*B94/(4*$B$8)) )^4</f>
        <v/>
      </c>
      <c r="F94" s="4">
        <f>ABS(C94-E94)</f>
        <v/>
      </c>
    </row>
    <row r="95">
      <c r="A95" s="4">
        <f>A94+1</f>
        <v/>
      </c>
      <c r="B95" s="4">
        <f>B94+$B$6</f>
        <v/>
      </c>
      <c r="C95" s="4">
        <f>C94+$B$6*D94</f>
        <v/>
      </c>
      <c r="D95" s="4">
        <f>$B$3*C95^(3/4)*(1-(C95/$B$4)^(1/4))</f>
        <v/>
      </c>
      <c r="E95" s="4">
        <f>( $B$8 + ($B$9-$B$8)*EXP(-$B$3*B95/(4*$B$8)) )^4</f>
        <v/>
      </c>
      <c r="F95" s="4">
        <f>ABS(C95-E95)</f>
        <v/>
      </c>
    </row>
    <row r="96">
      <c r="A96" s="4">
        <f>A95+1</f>
        <v/>
      </c>
      <c r="B96" s="4">
        <f>B95+$B$6</f>
        <v/>
      </c>
      <c r="C96" s="4">
        <f>C95+$B$6*D95</f>
        <v/>
      </c>
      <c r="D96" s="4">
        <f>$B$3*C96^(3/4)*(1-(C96/$B$4)^(1/4))</f>
        <v/>
      </c>
      <c r="E96" s="4">
        <f>( $B$8 + ($B$9-$B$8)*EXP(-$B$3*B96/(4*$B$8)) )^4</f>
        <v/>
      </c>
      <c r="F96" s="4">
        <f>ABS(C96-E96)</f>
        <v/>
      </c>
    </row>
    <row r="97">
      <c r="A97" s="4">
        <f>A96+1</f>
        <v/>
      </c>
      <c r="B97" s="4">
        <f>B96+$B$6</f>
        <v/>
      </c>
      <c r="C97" s="4">
        <f>C96+$B$6*D96</f>
        <v/>
      </c>
      <c r="D97" s="4">
        <f>$B$3*C97^(3/4)*(1-(C97/$B$4)^(1/4))</f>
        <v/>
      </c>
      <c r="E97" s="4">
        <f>( $B$8 + ($B$9-$B$8)*EXP(-$B$3*B97/(4*$B$8)) )^4</f>
        <v/>
      </c>
      <c r="F97" s="4">
        <f>ABS(C97-E97)</f>
        <v/>
      </c>
    </row>
    <row r="98">
      <c r="A98" s="4">
        <f>A97+1</f>
        <v/>
      </c>
      <c r="B98" s="4">
        <f>B97+$B$6</f>
        <v/>
      </c>
      <c r="C98" s="4">
        <f>C97+$B$6*D97</f>
        <v/>
      </c>
      <c r="D98" s="4">
        <f>$B$3*C98^(3/4)*(1-(C98/$B$4)^(1/4))</f>
        <v/>
      </c>
      <c r="E98" s="4">
        <f>( $B$8 + ($B$9-$B$8)*EXP(-$B$3*B98/(4*$B$8)) )^4</f>
        <v/>
      </c>
      <c r="F98" s="4">
        <f>ABS(C98-E98)</f>
        <v/>
      </c>
    </row>
    <row r="99">
      <c r="A99" s="4">
        <f>A98+1</f>
        <v/>
      </c>
      <c r="B99" s="4">
        <f>B98+$B$6</f>
        <v/>
      </c>
      <c r="C99" s="4">
        <f>C98+$B$6*D98</f>
        <v/>
      </c>
      <c r="D99" s="4">
        <f>$B$3*C99^(3/4)*(1-(C99/$B$4)^(1/4))</f>
        <v/>
      </c>
      <c r="E99" s="4">
        <f>( $B$8 + ($B$9-$B$8)*EXP(-$B$3*B99/(4*$B$8)) )^4</f>
        <v/>
      </c>
      <c r="F99" s="4">
        <f>ABS(C99-E99)</f>
        <v/>
      </c>
    </row>
    <row r="100">
      <c r="A100" s="4">
        <f>A99+1</f>
        <v/>
      </c>
      <c r="B100" s="4">
        <f>B99+$B$6</f>
        <v/>
      </c>
      <c r="C100" s="4">
        <f>C99+$B$6*D99</f>
        <v/>
      </c>
      <c r="D100" s="4">
        <f>$B$3*C100^(3/4)*(1-(C100/$B$4)^(1/4))</f>
        <v/>
      </c>
      <c r="E100" s="4">
        <f>( $B$8 + ($B$9-$B$8)*EXP(-$B$3*B100/(4*$B$8)) )^4</f>
        <v/>
      </c>
      <c r="F100" s="4">
        <f>ABS(C100-E100)</f>
        <v/>
      </c>
    </row>
    <row r="101">
      <c r="A101" s="4">
        <f>A100+1</f>
        <v/>
      </c>
      <c r="B101" s="4">
        <f>B100+$B$6</f>
        <v/>
      </c>
      <c r="C101" s="4">
        <f>C100+$B$6*D100</f>
        <v/>
      </c>
      <c r="D101" s="4">
        <f>$B$3*C101^(3/4)*(1-(C101/$B$4)^(1/4))</f>
        <v/>
      </c>
      <c r="E101" s="4">
        <f>( $B$8 + ($B$9-$B$8)*EXP(-$B$3*B101/(4*$B$8)) )^4</f>
        <v/>
      </c>
      <c r="F101" s="4">
        <f>ABS(C101-E101)</f>
        <v/>
      </c>
    </row>
    <row r="102">
      <c r="A102" s="4">
        <f>A101+1</f>
        <v/>
      </c>
      <c r="B102" s="4">
        <f>B101+$B$6</f>
        <v/>
      </c>
      <c r="C102" s="4">
        <f>C101+$B$6*D101</f>
        <v/>
      </c>
      <c r="D102" s="4">
        <f>$B$3*C102^(3/4)*(1-(C102/$B$4)^(1/4))</f>
        <v/>
      </c>
      <c r="E102" s="4">
        <f>( $B$8 + ($B$9-$B$8)*EXP(-$B$3*B102/(4*$B$8)) )^4</f>
        <v/>
      </c>
      <c r="F102" s="4">
        <f>ABS(C102-E102)</f>
        <v/>
      </c>
    </row>
    <row r="103">
      <c r="A103" s="4">
        <f>A102+1</f>
        <v/>
      </c>
      <c r="B103" s="4">
        <f>B102+$B$6</f>
        <v/>
      </c>
      <c r="C103" s="4">
        <f>C102+$B$6*D102</f>
        <v/>
      </c>
      <c r="D103" s="4">
        <f>$B$3*C103^(3/4)*(1-(C103/$B$4)^(1/4))</f>
        <v/>
      </c>
      <c r="E103" s="4">
        <f>( $B$8 + ($B$9-$B$8)*EXP(-$B$3*B103/(4*$B$8)) )^4</f>
        <v/>
      </c>
      <c r="F103" s="4">
        <f>ABS(C103-E103)</f>
        <v/>
      </c>
    </row>
    <row r="104">
      <c r="A104" s="4">
        <f>A103+1</f>
        <v/>
      </c>
      <c r="B104" s="4">
        <f>B103+$B$6</f>
        <v/>
      </c>
      <c r="C104" s="4">
        <f>C103+$B$6*D103</f>
        <v/>
      </c>
      <c r="D104" s="4">
        <f>$B$3*C104^(3/4)*(1-(C104/$B$4)^(1/4))</f>
        <v/>
      </c>
      <c r="E104" s="4">
        <f>( $B$8 + ($B$9-$B$8)*EXP(-$B$3*B104/(4*$B$8)) )^4</f>
        <v/>
      </c>
      <c r="F104" s="4">
        <f>ABS(C104-E104)</f>
        <v/>
      </c>
    </row>
    <row r="105">
      <c r="A105" s="4">
        <f>A104+1</f>
        <v/>
      </c>
      <c r="B105" s="4">
        <f>B104+$B$6</f>
        <v/>
      </c>
      <c r="C105" s="4">
        <f>C104+$B$6*D104</f>
        <v/>
      </c>
      <c r="D105" s="4">
        <f>$B$3*C105^(3/4)*(1-(C105/$B$4)^(1/4))</f>
        <v/>
      </c>
      <c r="E105" s="4">
        <f>( $B$8 + ($B$9-$B$8)*EXP(-$B$3*B105/(4*$B$8)) )^4</f>
        <v/>
      </c>
      <c r="F105" s="4">
        <f>ABS(C105-E105)</f>
        <v/>
      </c>
    </row>
    <row r="106">
      <c r="A106" s="4">
        <f>A105+1</f>
        <v/>
      </c>
      <c r="B106" s="4">
        <f>B105+$B$6</f>
        <v/>
      </c>
      <c r="C106" s="4">
        <f>C105+$B$6*D105</f>
        <v/>
      </c>
      <c r="D106" s="4">
        <f>$B$3*C106^(3/4)*(1-(C106/$B$4)^(1/4))</f>
        <v/>
      </c>
      <c r="E106" s="4">
        <f>( $B$8 + ($B$9-$B$8)*EXP(-$B$3*B106/(4*$B$8)) )^4</f>
        <v/>
      </c>
      <c r="F106" s="4">
        <f>ABS(C106-E106)</f>
        <v/>
      </c>
    </row>
    <row r="107">
      <c r="A107" s="4">
        <f>A106+1</f>
        <v/>
      </c>
      <c r="B107" s="4">
        <f>B106+$B$6</f>
        <v/>
      </c>
      <c r="C107" s="4">
        <f>C106+$B$6*D106</f>
        <v/>
      </c>
      <c r="D107" s="4">
        <f>$B$3*C107^(3/4)*(1-(C107/$B$4)^(1/4))</f>
        <v/>
      </c>
      <c r="E107" s="4">
        <f>( $B$8 + ($B$9-$B$8)*EXP(-$B$3*B107/(4*$B$8)) )^4</f>
        <v/>
      </c>
      <c r="F107" s="4">
        <f>ABS(C107-E107)</f>
        <v/>
      </c>
    </row>
    <row r="108">
      <c r="A108" s="4">
        <f>A107+1</f>
        <v/>
      </c>
      <c r="B108" s="4">
        <f>B107+$B$6</f>
        <v/>
      </c>
      <c r="C108" s="4">
        <f>C107+$B$6*D107</f>
        <v/>
      </c>
      <c r="D108" s="4">
        <f>$B$3*C108^(3/4)*(1-(C108/$B$4)^(1/4))</f>
        <v/>
      </c>
      <c r="E108" s="4">
        <f>( $B$8 + ($B$9-$B$8)*EXP(-$B$3*B108/(4*$B$8)) )^4</f>
        <v/>
      </c>
      <c r="F108" s="4">
        <f>ABS(C108-E108)</f>
        <v/>
      </c>
    </row>
    <row r="109">
      <c r="A109" s="4">
        <f>A108+1</f>
        <v/>
      </c>
      <c r="B109" s="4">
        <f>B108+$B$6</f>
        <v/>
      </c>
      <c r="C109" s="4">
        <f>C108+$B$6*D108</f>
        <v/>
      </c>
      <c r="D109" s="4">
        <f>$B$3*C109^(3/4)*(1-(C109/$B$4)^(1/4))</f>
        <v/>
      </c>
      <c r="E109" s="4">
        <f>( $B$8 + ($B$9-$B$8)*EXP(-$B$3*B109/(4*$B$8)) )^4</f>
        <v/>
      </c>
      <c r="F109" s="4">
        <f>ABS(C109-E109)</f>
        <v/>
      </c>
    </row>
    <row r="110">
      <c r="A110" s="4">
        <f>A109+1</f>
        <v/>
      </c>
      <c r="B110" s="4">
        <f>B109+$B$6</f>
        <v/>
      </c>
      <c r="C110" s="4">
        <f>C109+$B$6*D109</f>
        <v/>
      </c>
      <c r="D110" s="4">
        <f>$B$3*C110^(3/4)*(1-(C110/$B$4)^(1/4))</f>
        <v/>
      </c>
      <c r="E110" s="4">
        <f>( $B$8 + ($B$9-$B$8)*EXP(-$B$3*B110/(4*$B$8)) )^4</f>
        <v/>
      </c>
      <c r="F110" s="4">
        <f>ABS(C110-E110)</f>
        <v/>
      </c>
    </row>
    <row r="111">
      <c r="A111" s="4">
        <f>A110+1</f>
        <v/>
      </c>
      <c r="B111" s="4">
        <f>B110+$B$6</f>
        <v/>
      </c>
      <c r="C111" s="4">
        <f>C110+$B$6*D110</f>
        <v/>
      </c>
      <c r="D111" s="4">
        <f>$B$3*C111^(3/4)*(1-(C111/$B$4)^(1/4))</f>
        <v/>
      </c>
      <c r="E111" s="4">
        <f>( $B$8 + ($B$9-$B$8)*EXP(-$B$3*B111/(4*$B$8)) )^4</f>
        <v/>
      </c>
      <c r="F111" s="4">
        <f>ABS(C111-E111)</f>
        <v/>
      </c>
    </row>
    <row r="112">
      <c r="A112" s="4">
        <f>A111+1</f>
        <v/>
      </c>
      <c r="B112" s="4">
        <f>B111+$B$6</f>
        <v/>
      </c>
      <c r="C112" s="4">
        <f>C111+$B$6*D111</f>
        <v/>
      </c>
      <c r="D112" s="4">
        <f>$B$3*C112^(3/4)*(1-(C112/$B$4)^(1/4))</f>
        <v/>
      </c>
      <c r="E112" s="4">
        <f>( $B$8 + ($B$9-$B$8)*EXP(-$B$3*B112/(4*$B$8)) )^4</f>
        <v/>
      </c>
      <c r="F112" s="4">
        <f>ABS(C112-E112)</f>
        <v/>
      </c>
    </row>
    <row r="113">
      <c r="A113" s="4">
        <f>A112+1</f>
        <v/>
      </c>
      <c r="B113" s="4">
        <f>B112+$B$6</f>
        <v/>
      </c>
      <c r="C113" s="4">
        <f>C112+$B$6*D112</f>
        <v/>
      </c>
      <c r="D113" s="4">
        <f>$B$3*C113^(3/4)*(1-(C113/$B$4)^(1/4))</f>
        <v/>
      </c>
      <c r="E113" s="4">
        <f>( $B$8 + ($B$9-$B$8)*EXP(-$B$3*B113/(4*$B$8)) )^4</f>
        <v/>
      </c>
      <c r="F113" s="4">
        <f>ABS(C113-E113)</f>
        <v/>
      </c>
    </row>
    <row r="114">
      <c r="A114" s="4">
        <f>A113+1</f>
        <v/>
      </c>
      <c r="B114" s="4">
        <f>B113+$B$6</f>
        <v/>
      </c>
      <c r="C114" s="4">
        <f>C113+$B$6*D113</f>
        <v/>
      </c>
      <c r="D114" s="4">
        <f>$B$3*C114^(3/4)*(1-(C114/$B$4)^(1/4))</f>
        <v/>
      </c>
      <c r="E114" s="4">
        <f>( $B$8 + ($B$9-$B$8)*EXP(-$B$3*B114/(4*$B$8)) )^4</f>
        <v/>
      </c>
      <c r="F114" s="4">
        <f>ABS(C114-E114)</f>
        <v/>
      </c>
    </row>
    <row r="115">
      <c r="A115" s="4">
        <f>A114+1</f>
        <v/>
      </c>
      <c r="B115" s="4">
        <f>B114+$B$6</f>
        <v/>
      </c>
      <c r="C115" s="4">
        <f>C114+$B$6*D114</f>
        <v/>
      </c>
      <c r="D115" s="4">
        <f>$B$3*C115^(3/4)*(1-(C115/$B$4)^(1/4))</f>
        <v/>
      </c>
      <c r="E115" s="4">
        <f>( $B$8 + ($B$9-$B$8)*EXP(-$B$3*B115/(4*$B$8)) )^4</f>
        <v/>
      </c>
      <c r="F115" s="4">
        <f>ABS(C115-E115)</f>
        <v/>
      </c>
    </row>
    <row r="116">
      <c r="A116" s="4">
        <f>A115+1</f>
        <v/>
      </c>
      <c r="B116" s="4">
        <f>B115+$B$6</f>
        <v/>
      </c>
      <c r="C116" s="4">
        <f>C115+$B$6*D115</f>
        <v/>
      </c>
      <c r="D116" s="4">
        <f>$B$3*C116^(3/4)*(1-(C116/$B$4)^(1/4))</f>
        <v/>
      </c>
      <c r="E116" s="4">
        <f>( $B$8 + ($B$9-$B$8)*EXP(-$B$3*B116/(4*$B$8)) )^4</f>
        <v/>
      </c>
      <c r="F116" s="4">
        <f>ABS(C116-E116)</f>
        <v/>
      </c>
    </row>
    <row r="117">
      <c r="A117" s="4">
        <f>A116+1</f>
        <v/>
      </c>
      <c r="B117" s="4">
        <f>B116+$B$6</f>
        <v/>
      </c>
      <c r="C117" s="4">
        <f>C116+$B$6*D116</f>
        <v/>
      </c>
      <c r="D117" s="4">
        <f>$B$3*C117^(3/4)*(1-(C117/$B$4)^(1/4))</f>
        <v/>
      </c>
      <c r="E117" s="4">
        <f>( $B$8 + ($B$9-$B$8)*EXP(-$B$3*B117/(4*$B$8)) )^4</f>
        <v/>
      </c>
      <c r="F117" s="4">
        <f>ABS(C117-E117)</f>
        <v/>
      </c>
    </row>
    <row r="118">
      <c r="A118" s="4">
        <f>A117+1</f>
        <v/>
      </c>
      <c r="B118" s="4">
        <f>B117+$B$6</f>
        <v/>
      </c>
      <c r="C118" s="4">
        <f>C117+$B$6*D117</f>
        <v/>
      </c>
      <c r="D118" s="4">
        <f>$B$3*C118^(3/4)*(1-(C118/$B$4)^(1/4))</f>
        <v/>
      </c>
      <c r="E118" s="4">
        <f>( $B$8 + ($B$9-$B$8)*EXP(-$B$3*B118/(4*$B$8)) )^4</f>
        <v/>
      </c>
      <c r="F118" s="4">
        <f>ABS(C118-E118)</f>
        <v/>
      </c>
    </row>
    <row r="119">
      <c r="A119" s="4">
        <f>A118+1</f>
        <v/>
      </c>
      <c r="B119" s="4">
        <f>B118+$B$6</f>
        <v/>
      </c>
      <c r="C119" s="4">
        <f>C118+$B$6*D118</f>
        <v/>
      </c>
      <c r="D119" s="4">
        <f>$B$3*C119^(3/4)*(1-(C119/$B$4)^(1/4))</f>
        <v/>
      </c>
      <c r="E119" s="4">
        <f>( $B$8 + ($B$9-$B$8)*EXP(-$B$3*B119/(4*$B$8)) )^4</f>
        <v/>
      </c>
      <c r="F119" s="4">
        <f>ABS(C119-E119)</f>
        <v/>
      </c>
    </row>
    <row r="120">
      <c r="A120" s="4">
        <f>A119+1</f>
        <v/>
      </c>
      <c r="B120" s="4">
        <f>B119+$B$6</f>
        <v/>
      </c>
      <c r="C120" s="4">
        <f>C119+$B$6*D119</f>
        <v/>
      </c>
      <c r="D120" s="4">
        <f>$B$3*C120^(3/4)*(1-(C120/$B$4)^(1/4))</f>
        <v/>
      </c>
      <c r="E120" s="4">
        <f>( $B$8 + ($B$9-$B$8)*EXP(-$B$3*B120/(4*$B$8)) )^4</f>
        <v/>
      </c>
      <c r="F120" s="4">
        <f>ABS(C120-E120)</f>
        <v/>
      </c>
    </row>
    <row r="121">
      <c r="A121" s="4">
        <f>A120+1</f>
        <v/>
      </c>
      <c r="B121" s="4">
        <f>B120+$B$6</f>
        <v/>
      </c>
      <c r="C121" s="4">
        <f>C120+$B$6*D120</f>
        <v/>
      </c>
      <c r="D121" s="4">
        <f>$B$3*C121^(3/4)*(1-(C121/$B$4)^(1/4))</f>
        <v/>
      </c>
      <c r="E121" s="4">
        <f>( $B$8 + ($B$9-$B$8)*EXP(-$B$3*B121/(4*$B$8)) )^4</f>
        <v/>
      </c>
      <c r="F121" s="4">
        <f>ABS(C121-E121)</f>
        <v/>
      </c>
    </row>
    <row r="122">
      <c r="A122" s="4">
        <f>A121+1</f>
        <v/>
      </c>
      <c r="B122" s="4">
        <f>B121+$B$6</f>
        <v/>
      </c>
      <c r="C122" s="4">
        <f>C121+$B$6*D121</f>
        <v/>
      </c>
      <c r="D122" s="4">
        <f>$B$3*C122^(3/4)*(1-(C122/$B$4)^(1/4))</f>
        <v/>
      </c>
      <c r="E122" s="4">
        <f>( $B$8 + ($B$9-$B$8)*EXP(-$B$3*B122/(4*$B$8)) )^4</f>
        <v/>
      </c>
      <c r="F122" s="4">
        <f>ABS(C122-E122)</f>
        <v/>
      </c>
    </row>
    <row r="123">
      <c r="A123" s="4">
        <f>A122+1</f>
        <v/>
      </c>
      <c r="B123" s="4">
        <f>B122+$B$6</f>
        <v/>
      </c>
      <c r="C123" s="4">
        <f>C122+$B$6*D122</f>
        <v/>
      </c>
      <c r="D123" s="4">
        <f>$B$3*C123^(3/4)*(1-(C123/$B$4)^(1/4))</f>
        <v/>
      </c>
      <c r="E123" s="4">
        <f>( $B$8 + ($B$9-$B$8)*EXP(-$B$3*B123/(4*$B$8)) )^4</f>
        <v/>
      </c>
      <c r="F123" s="4">
        <f>ABS(C123-E123)</f>
        <v/>
      </c>
    </row>
    <row r="124">
      <c r="A124" s="4">
        <f>A123+1</f>
        <v/>
      </c>
      <c r="B124" s="4">
        <f>B123+$B$6</f>
        <v/>
      </c>
      <c r="C124" s="4">
        <f>C123+$B$6*D123</f>
        <v/>
      </c>
      <c r="D124" s="4">
        <f>$B$3*C124^(3/4)*(1-(C124/$B$4)^(1/4))</f>
        <v/>
      </c>
      <c r="E124" s="4">
        <f>( $B$8 + ($B$9-$B$8)*EXP(-$B$3*B124/(4*$B$8)) )^4</f>
        <v/>
      </c>
      <c r="F124" s="4">
        <f>ABS(C124-E124)</f>
        <v/>
      </c>
    </row>
    <row r="125">
      <c r="A125" s="4">
        <f>A124+1</f>
        <v/>
      </c>
      <c r="B125" s="4">
        <f>B124+$B$6</f>
        <v/>
      </c>
      <c r="C125" s="4">
        <f>C124+$B$6*D124</f>
        <v/>
      </c>
      <c r="D125" s="4">
        <f>$B$3*C125^(3/4)*(1-(C125/$B$4)^(1/4))</f>
        <v/>
      </c>
      <c r="E125" s="4">
        <f>( $B$8 + ($B$9-$B$8)*EXP(-$B$3*B125/(4*$B$8)) )^4</f>
        <v/>
      </c>
      <c r="F125" s="4">
        <f>ABS(C125-E125)</f>
        <v/>
      </c>
    </row>
    <row r="126">
      <c r="A126" s="4">
        <f>A125+1</f>
        <v/>
      </c>
      <c r="B126" s="4">
        <f>B125+$B$6</f>
        <v/>
      </c>
      <c r="C126" s="4">
        <f>C125+$B$6*D125</f>
        <v/>
      </c>
      <c r="D126" s="4">
        <f>$B$3*C126^(3/4)*(1-(C126/$B$4)^(1/4))</f>
        <v/>
      </c>
      <c r="E126" s="4">
        <f>( $B$8 + ($B$9-$B$8)*EXP(-$B$3*B126/(4*$B$8)) )^4</f>
        <v/>
      </c>
      <c r="F126" s="4">
        <f>ABS(C126-E126)</f>
        <v/>
      </c>
    </row>
    <row r="127">
      <c r="A127" s="4">
        <f>A126+1</f>
        <v/>
      </c>
      <c r="B127" s="4">
        <f>B126+$B$6</f>
        <v/>
      </c>
      <c r="C127" s="4">
        <f>C126+$B$6*D126</f>
        <v/>
      </c>
      <c r="D127" s="4">
        <f>$B$3*C127^(3/4)*(1-(C127/$B$4)^(1/4))</f>
        <v/>
      </c>
      <c r="E127" s="4">
        <f>( $B$8 + ($B$9-$B$8)*EXP(-$B$3*B127/(4*$B$8)) )^4</f>
        <v/>
      </c>
      <c r="F127" s="4">
        <f>ABS(C127-E127)</f>
        <v/>
      </c>
    </row>
    <row r="128">
      <c r="A128" s="4">
        <f>A127+1</f>
        <v/>
      </c>
      <c r="B128" s="4">
        <f>B127+$B$6</f>
        <v/>
      </c>
      <c r="C128" s="4">
        <f>C127+$B$6*D127</f>
        <v/>
      </c>
      <c r="D128" s="4">
        <f>$B$3*C128^(3/4)*(1-(C128/$B$4)^(1/4))</f>
        <v/>
      </c>
      <c r="E128" s="4">
        <f>( $B$8 + ($B$9-$B$8)*EXP(-$B$3*B128/(4*$B$8)) )^4</f>
        <v/>
      </c>
      <c r="F128" s="4">
        <f>ABS(C128-E128)</f>
        <v/>
      </c>
    </row>
    <row r="129">
      <c r="A129" s="4">
        <f>A128+1</f>
        <v/>
      </c>
      <c r="B129" s="4">
        <f>B128+$B$6</f>
        <v/>
      </c>
      <c r="C129" s="4">
        <f>C128+$B$6*D128</f>
        <v/>
      </c>
      <c r="D129" s="4">
        <f>$B$3*C129^(3/4)*(1-(C129/$B$4)^(1/4))</f>
        <v/>
      </c>
      <c r="E129" s="4">
        <f>( $B$8 + ($B$9-$B$8)*EXP(-$B$3*B129/(4*$B$8)) )^4</f>
        <v/>
      </c>
      <c r="F129" s="4">
        <f>ABS(C129-E129)</f>
        <v/>
      </c>
    </row>
    <row r="130">
      <c r="A130" s="4">
        <f>A129+1</f>
        <v/>
      </c>
      <c r="B130" s="4">
        <f>B129+$B$6</f>
        <v/>
      </c>
      <c r="C130" s="4">
        <f>C129+$B$6*D129</f>
        <v/>
      </c>
      <c r="D130" s="4">
        <f>$B$3*C130^(3/4)*(1-(C130/$B$4)^(1/4))</f>
        <v/>
      </c>
      <c r="E130" s="4">
        <f>( $B$8 + ($B$9-$B$8)*EXP(-$B$3*B130/(4*$B$8)) )^4</f>
        <v/>
      </c>
      <c r="F130" s="4">
        <f>ABS(C130-E130)</f>
        <v/>
      </c>
    </row>
    <row r="131">
      <c r="A131" s="4">
        <f>A130+1</f>
        <v/>
      </c>
      <c r="B131" s="4">
        <f>B130+$B$6</f>
        <v/>
      </c>
      <c r="C131" s="4">
        <f>C130+$B$6*D130</f>
        <v/>
      </c>
      <c r="D131" s="4">
        <f>$B$3*C131^(3/4)*(1-(C131/$B$4)^(1/4))</f>
        <v/>
      </c>
      <c r="E131" s="4">
        <f>( $B$8 + ($B$9-$B$8)*EXP(-$B$3*B131/(4*$B$8)) )^4</f>
        <v/>
      </c>
      <c r="F131" s="4">
        <f>ABS(C131-E131)</f>
        <v/>
      </c>
    </row>
    <row r="132">
      <c r="A132" s="4">
        <f>A131+1</f>
        <v/>
      </c>
      <c r="B132" s="4">
        <f>B131+$B$6</f>
        <v/>
      </c>
      <c r="C132" s="4">
        <f>C131+$B$6*D131</f>
        <v/>
      </c>
      <c r="D132" s="4">
        <f>$B$3*C132^(3/4)*(1-(C132/$B$4)^(1/4))</f>
        <v/>
      </c>
      <c r="E132" s="4">
        <f>( $B$8 + ($B$9-$B$8)*EXP(-$B$3*B132/(4*$B$8)) )^4</f>
        <v/>
      </c>
      <c r="F132" s="4">
        <f>ABS(C132-E132)</f>
        <v/>
      </c>
    </row>
    <row r="133">
      <c r="A133" s="4">
        <f>A132+1</f>
        <v/>
      </c>
      <c r="B133" s="4">
        <f>B132+$B$6</f>
        <v/>
      </c>
      <c r="C133" s="4">
        <f>C132+$B$6*D132</f>
        <v/>
      </c>
      <c r="D133" s="4">
        <f>$B$3*C133^(3/4)*(1-(C133/$B$4)^(1/4))</f>
        <v/>
      </c>
      <c r="E133" s="4">
        <f>( $B$8 + ($B$9-$B$8)*EXP(-$B$3*B133/(4*$B$8)) )^4</f>
        <v/>
      </c>
      <c r="F133" s="4">
        <f>ABS(C133-E133)</f>
        <v/>
      </c>
    </row>
    <row r="134">
      <c r="A134" s="4">
        <f>A133+1</f>
        <v/>
      </c>
      <c r="B134" s="4">
        <f>B133+$B$6</f>
        <v/>
      </c>
      <c r="C134" s="4">
        <f>C133+$B$6*D133</f>
        <v/>
      </c>
      <c r="D134" s="4">
        <f>$B$3*C134^(3/4)*(1-(C134/$B$4)^(1/4))</f>
        <v/>
      </c>
      <c r="E134" s="4">
        <f>( $B$8 + ($B$9-$B$8)*EXP(-$B$3*B134/(4*$B$8)) )^4</f>
        <v/>
      </c>
      <c r="F134" s="4">
        <f>ABS(C134-E134)</f>
        <v/>
      </c>
    </row>
    <row r="135">
      <c r="A135" s="4">
        <f>A134+1</f>
        <v/>
      </c>
      <c r="B135" s="4">
        <f>B134+$B$6</f>
        <v/>
      </c>
      <c r="C135" s="4">
        <f>C134+$B$6*D134</f>
        <v/>
      </c>
      <c r="D135" s="4">
        <f>$B$3*C135^(3/4)*(1-(C135/$B$4)^(1/4))</f>
        <v/>
      </c>
      <c r="E135" s="4">
        <f>( $B$8 + ($B$9-$B$8)*EXP(-$B$3*B135/(4*$B$8)) )^4</f>
        <v/>
      </c>
      <c r="F135" s="4">
        <f>ABS(C135-E135)</f>
        <v/>
      </c>
    </row>
    <row r="136">
      <c r="A136" s="4">
        <f>A135+1</f>
        <v/>
      </c>
      <c r="B136" s="4">
        <f>B135+$B$6</f>
        <v/>
      </c>
      <c r="C136" s="4">
        <f>C135+$B$6*D135</f>
        <v/>
      </c>
      <c r="D136" s="4">
        <f>$B$3*C136^(3/4)*(1-(C136/$B$4)^(1/4))</f>
        <v/>
      </c>
      <c r="E136" s="4">
        <f>( $B$8 + ($B$9-$B$8)*EXP(-$B$3*B136/(4*$B$8)) )^4</f>
        <v/>
      </c>
      <c r="F136" s="4">
        <f>ABS(C136-E136)</f>
        <v/>
      </c>
    </row>
    <row r="137">
      <c r="A137" s="4">
        <f>A136+1</f>
        <v/>
      </c>
      <c r="B137" s="4">
        <f>B136+$B$6</f>
        <v/>
      </c>
      <c r="C137" s="4">
        <f>C136+$B$6*D136</f>
        <v/>
      </c>
      <c r="D137" s="4">
        <f>$B$3*C137^(3/4)*(1-(C137/$B$4)^(1/4))</f>
        <v/>
      </c>
      <c r="E137" s="4">
        <f>( $B$8 + ($B$9-$B$8)*EXP(-$B$3*B137/(4*$B$8)) )^4</f>
        <v/>
      </c>
      <c r="F137" s="4">
        <f>ABS(C137-E137)</f>
        <v/>
      </c>
    </row>
    <row r="138">
      <c r="A138" s="4">
        <f>A137+1</f>
        <v/>
      </c>
      <c r="B138" s="4">
        <f>B137+$B$6</f>
        <v/>
      </c>
      <c r="C138" s="4">
        <f>C137+$B$6*D137</f>
        <v/>
      </c>
      <c r="D138" s="4">
        <f>$B$3*C138^(3/4)*(1-(C138/$B$4)^(1/4))</f>
        <v/>
      </c>
      <c r="E138" s="4">
        <f>( $B$8 + ($B$9-$B$8)*EXP(-$B$3*B138/(4*$B$8)) )^4</f>
        <v/>
      </c>
      <c r="F138" s="4">
        <f>ABS(C138-E138)</f>
        <v/>
      </c>
    </row>
    <row r="139">
      <c r="A139" s="4">
        <f>A138+1</f>
        <v/>
      </c>
      <c r="B139" s="4">
        <f>B138+$B$6</f>
        <v/>
      </c>
      <c r="C139" s="4">
        <f>C138+$B$6*D138</f>
        <v/>
      </c>
      <c r="D139" s="4">
        <f>$B$3*C139^(3/4)*(1-(C139/$B$4)^(1/4))</f>
        <v/>
      </c>
      <c r="E139" s="4">
        <f>( $B$8 + ($B$9-$B$8)*EXP(-$B$3*B139/(4*$B$8)) )^4</f>
        <v/>
      </c>
      <c r="F139" s="4">
        <f>ABS(C139-E139)</f>
        <v/>
      </c>
    </row>
    <row r="140">
      <c r="A140" s="4">
        <f>A139+1</f>
        <v/>
      </c>
      <c r="B140" s="4">
        <f>B139+$B$6</f>
        <v/>
      </c>
      <c r="C140" s="4">
        <f>C139+$B$6*D139</f>
        <v/>
      </c>
      <c r="D140" s="4">
        <f>$B$3*C140^(3/4)*(1-(C140/$B$4)^(1/4))</f>
        <v/>
      </c>
      <c r="E140" s="4">
        <f>( $B$8 + ($B$9-$B$8)*EXP(-$B$3*B140/(4*$B$8)) )^4</f>
        <v/>
      </c>
      <c r="F140" s="4">
        <f>ABS(C140-E140)</f>
        <v/>
      </c>
    </row>
    <row r="141">
      <c r="A141" s="4">
        <f>A140+1</f>
        <v/>
      </c>
      <c r="B141" s="4">
        <f>B140+$B$6</f>
        <v/>
      </c>
      <c r="C141" s="4">
        <f>C140+$B$6*D140</f>
        <v/>
      </c>
      <c r="D141" s="4">
        <f>$B$3*C141^(3/4)*(1-(C141/$B$4)^(1/4))</f>
        <v/>
      </c>
      <c r="E141" s="4">
        <f>( $B$8 + ($B$9-$B$8)*EXP(-$B$3*B141/(4*$B$8)) )^4</f>
        <v/>
      </c>
      <c r="F141" s="4">
        <f>ABS(C141-E141)</f>
        <v/>
      </c>
    </row>
    <row r="142">
      <c r="A142" s="4">
        <f>A141+1</f>
        <v/>
      </c>
      <c r="B142" s="4">
        <f>B141+$B$6</f>
        <v/>
      </c>
      <c r="C142" s="4">
        <f>C141+$B$6*D141</f>
        <v/>
      </c>
      <c r="D142" s="4">
        <f>$B$3*C142^(3/4)*(1-(C142/$B$4)^(1/4))</f>
        <v/>
      </c>
      <c r="E142" s="4">
        <f>( $B$8 + ($B$9-$B$8)*EXP(-$B$3*B142/(4*$B$8)) )^4</f>
        <v/>
      </c>
      <c r="F142" s="4">
        <f>ABS(C142-E142)</f>
        <v/>
      </c>
    </row>
    <row r="143">
      <c r="A143" s="4">
        <f>A142+1</f>
        <v/>
      </c>
      <c r="B143" s="4">
        <f>B142+$B$6</f>
        <v/>
      </c>
      <c r="C143" s="4">
        <f>C142+$B$6*D142</f>
        <v/>
      </c>
      <c r="D143" s="4">
        <f>$B$3*C143^(3/4)*(1-(C143/$B$4)^(1/4))</f>
        <v/>
      </c>
      <c r="E143" s="4">
        <f>( $B$8 + ($B$9-$B$8)*EXP(-$B$3*B143/(4*$B$8)) )^4</f>
        <v/>
      </c>
      <c r="F143" s="4">
        <f>ABS(C143-E143)</f>
        <v/>
      </c>
    </row>
    <row r="144">
      <c r="A144" s="4">
        <f>A143+1</f>
        <v/>
      </c>
      <c r="B144" s="4">
        <f>B143+$B$6</f>
        <v/>
      </c>
      <c r="C144" s="4">
        <f>C143+$B$6*D143</f>
        <v/>
      </c>
      <c r="D144" s="4">
        <f>$B$3*C144^(3/4)*(1-(C144/$B$4)^(1/4))</f>
        <v/>
      </c>
      <c r="E144" s="4">
        <f>( $B$8 + ($B$9-$B$8)*EXP(-$B$3*B144/(4*$B$8)) )^4</f>
        <v/>
      </c>
      <c r="F144" s="4">
        <f>ABS(C144-E144)</f>
        <v/>
      </c>
    </row>
    <row r="145">
      <c r="A145" s="4">
        <f>A144+1</f>
        <v/>
      </c>
      <c r="B145" s="4">
        <f>B144+$B$6</f>
        <v/>
      </c>
      <c r="C145" s="4">
        <f>C144+$B$6*D144</f>
        <v/>
      </c>
      <c r="D145" s="4">
        <f>$B$3*C145^(3/4)*(1-(C145/$B$4)^(1/4))</f>
        <v/>
      </c>
      <c r="E145" s="4">
        <f>( $B$8 + ($B$9-$B$8)*EXP(-$B$3*B145/(4*$B$8)) )^4</f>
        <v/>
      </c>
      <c r="F145" s="4">
        <f>ABS(C145-E145)</f>
        <v/>
      </c>
    </row>
    <row r="146">
      <c r="A146" s="4">
        <f>A145+1</f>
        <v/>
      </c>
      <c r="B146" s="4">
        <f>B145+$B$6</f>
        <v/>
      </c>
      <c r="C146" s="4">
        <f>C145+$B$6*D145</f>
        <v/>
      </c>
      <c r="D146" s="4">
        <f>$B$3*C146^(3/4)*(1-(C146/$B$4)^(1/4))</f>
        <v/>
      </c>
      <c r="E146" s="4">
        <f>( $B$8 + ($B$9-$B$8)*EXP(-$B$3*B146/(4*$B$8)) )^4</f>
        <v/>
      </c>
      <c r="F146" s="4">
        <f>ABS(C146-E146)</f>
        <v/>
      </c>
    </row>
    <row r="147">
      <c r="A147" s="4">
        <f>A146+1</f>
        <v/>
      </c>
      <c r="B147" s="4">
        <f>B146+$B$6</f>
        <v/>
      </c>
      <c r="C147" s="4">
        <f>C146+$B$6*D146</f>
        <v/>
      </c>
      <c r="D147" s="4">
        <f>$B$3*C147^(3/4)*(1-(C147/$B$4)^(1/4))</f>
        <v/>
      </c>
      <c r="E147" s="4">
        <f>( $B$8 + ($B$9-$B$8)*EXP(-$B$3*B147/(4*$B$8)) )^4</f>
        <v/>
      </c>
      <c r="F147" s="4">
        <f>ABS(C147-E147)</f>
        <v/>
      </c>
    </row>
    <row r="148">
      <c r="A148" s="4">
        <f>A147+1</f>
        <v/>
      </c>
      <c r="B148" s="4">
        <f>B147+$B$6</f>
        <v/>
      </c>
      <c r="C148" s="4">
        <f>C147+$B$6*D147</f>
        <v/>
      </c>
      <c r="D148" s="4">
        <f>$B$3*C148^(3/4)*(1-(C148/$B$4)^(1/4))</f>
        <v/>
      </c>
      <c r="E148" s="4">
        <f>( $B$8 + ($B$9-$B$8)*EXP(-$B$3*B148/(4*$B$8)) )^4</f>
        <v/>
      </c>
      <c r="F148" s="4">
        <f>ABS(C148-E148)</f>
        <v/>
      </c>
    </row>
    <row r="149">
      <c r="A149" s="4">
        <f>A148+1</f>
        <v/>
      </c>
      <c r="B149" s="4">
        <f>B148+$B$6</f>
        <v/>
      </c>
      <c r="C149" s="4">
        <f>C148+$B$6*D148</f>
        <v/>
      </c>
      <c r="D149" s="4">
        <f>$B$3*C149^(3/4)*(1-(C149/$B$4)^(1/4))</f>
        <v/>
      </c>
      <c r="E149" s="4">
        <f>( $B$8 + ($B$9-$B$8)*EXP(-$B$3*B149/(4*$B$8)) )^4</f>
        <v/>
      </c>
      <c r="F149" s="4">
        <f>ABS(C149-E149)</f>
        <v/>
      </c>
    </row>
    <row r="150">
      <c r="A150" s="4">
        <f>A149+1</f>
        <v/>
      </c>
      <c r="B150" s="4">
        <f>B149+$B$6</f>
        <v/>
      </c>
      <c r="C150" s="4">
        <f>C149+$B$6*D149</f>
        <v/>
      </c>
      <c r="D150" s="4">
        <f>$B$3*C150^(3/4)*(1-(C150/$B$4)^(1/4))</f>
        <v/>
      </c>
      <c r="E150" s="4">
        <f>( $B$8 + ($B$9-$B$8)*EXP(-$B$3*B150/(4*$B$8)) )^4</f>
        <v/>
      </c>
      <c r="F150" s="4">
        <f>ABS(C150-E150)</f>
        <v/>
      </c>
    </row>
    <row r="151">
      <c r="A151" s="4">
        <f>A150+1</f>
        <v/>
      </c>
      <c r="B151" s="4">
        <f>B150+$B$6</f>
        <v/>
      </c>
      <c r="C151" s="4">
        <f>C150+$B$6*D150</f>
        <v/>
      </c>
      <c r="D151" s="4">
        <f>$B$3*C151^(3/4)*(1-(C151/$B$4)^(1/4))</f>
        <v/>
      </c>
      <c r="E151" s="4">
        <f>( $B$8 + ($B$9-$B$8)*EXP(-$B$3*B151/(4*$B$8)) )^4</f>
        <v/>
      </c>
      <c r="F151" s="4">
        <f>ABS(C151-E151)</f>
        <v/>
      </c>
    </row>
    <row r="152">
      <c r="A152" s="4">
        <f>A151+1</f>
        <v/>
      </c>
      <c r="B152" s="4">
        <f>B151+$B$6</f>
        <v/>
      </c>
      <c r="C152" s="4">
        <f>C151+$B$6*D151</f>
        <v/>
      </c>
      <c r="D152" s="4">
        <f>$B$3*C152^(3/4)*(1-(C152/$B$4)^(1/4))</f>
        <v/>
      </c>
      <c r="E152" s="4">
        <f>( $B$8 + ($B$9-$B$8)*EXP(-$B$3*B152/(4*$B$8)) )^4</f>
        <v/>
      </c>
      <c r="F152" s="4">
        <f>ABS(C152-E152)</f>
        <v/>
      </c>
    </row>
    <row r="153">
      <c r="A153" s="4">
        <f>A152+1</f>
        <v/>
      </c>
      <c r="B153" s="4">
        <f>B152+$B$6</f>
        <v/>
      </c>
      <c r="C153" s="4">
        <f>C152+$B$6*D152</f>
        <v/>
      </c>
      <c r="D153" s="4">
        <f>$B$3*C153^(3/4)*(1-(C153/$B$4)^(1/4))</f>
        <v/>
      </c>
      <c r="E153" s="4">
        <f>( $B$8 + ($B$9-$B$8)*EXP(-$B$3*B153/(4*$B$8)) )^4</f>
        <v/>
      </c>
      <c r="F153" s="4">
        <f>ABS(C153-E153)</f>
        <v/>
      </c>
    </row>
    <row r="154">
      <c r="A154" s="4">
        <f>A153+1</f>
        <v/>
      </c>
      <c r="B154" s="4">
        <f>B153+$B$6</f>
        <v/>
      </c>
      <c r="C154" s="4">
        <f>C153+$B$6*D153</f>
        <v/>
      </c>
      <c r="D154" s="4">
        <f>$B$3*C154^(3/4)*(1-(C154/$B$4)^(1/4))</f>
        <v/>
      </c>
      <c r="E154" s="4">
        <f>( $B$8 + ($B$9-$B$8)*EXP(-$B$3*B154/(4*$B$8)) )^4</f>
        <v/>
      </c>
      <c r="F154" s="4">
        <f>ABS(C154-E154)</f>
        <v/>
      </c>
    </row>
    <row r="155">
      <c r="A155" s="4">
        <f>A154+1</f>
        <v/>
      </c>
      <c r="B155" s="4">
        <f>B154+$B$6</f>
        <v/>
      </c>
      <c r="C155" s="4">
        <f>C154+$B$6*D154</f>
        <v/>
      </c>
      <c r="D155" s="4">
        <f>$B$3*C155^(3/4)*(1-(C155/$B$4)^(1/4))</f>
        <v/>
      </c>
      <c r="E155" s="4">
        <f>( $B$8 + ($B$9-$B$8)*EXP(-$B$3*B155/(4*$B$8)) )^4</f>
        <v/>
      </c>
      <c r="F155" s="4">
        <f>ABS(C155-E155)</f>
        <v/>
      </c>
    </row>
    <row r="156">
      <c r="A156" s="4">
        <f>A155+1</f>
        <v/>
      </c>
      <c r="B156" s="4">
        <f>B155+$B$6</f>
        <v/>
      </c>
      <c r="C156" s="4">
        <f>C155+$B$6*D155</f>
        <v/>
      </c>
      <c r="D156" s="4">
        <f>$B$3*C156^(3/4)*(1-(C156/$B$4)^(1/4))</f>
        <v/>
      </c>
      <c r="E156" s="4">
        <f>( $B$8 + ($B$9-$B$8)*EXP(-$B$3*B156/(4*$B$8)) )^4</f>
        <v/>
      </c>
      <c r="F156" s="4">
        <f>ABS(C156-E156)</f>
        <v/>
      </c>
    </row>
    <row r="157">
      <c r="A157" s="4">
        <f>A156+1</f>
        <v/>
      </c>
      <c r="B157" s="4">
        <f>B156+$B$6</f>
        <v/>
      </c>
      <c r="C157" s="4">
        <f>C156+$B$6*D156</f>
        <v/>
      </c>
      <c r="D157" s="4">
        <f>$B$3*C157^(3/4)*(1-(C157/$B$4)^(1/4))</f>
        <v/>
      </c>
      <c r="E157" s="4">
        <f>( $B$8 + ($B$9-$B$8)*EXP(-$B$3*B157/(4*$B$8)) )^4</f>
        <v/>
      </c>
      <c r="F157" s="4">
        <f>ABS(C157-E157)</f>
        <v/>
      </c>
    </row>
    <row r="158">
      <c r="A158" s="4">
        <f>A157+1</f>
        <v/>
      </c>
      <c r="B158" s="4">
        <f>B157+$B$6</f>
        <v/>
      </c>
      <c r="C158" s="4">
        <f>C157+$B$6*D157</f>
        <v/>
      </c>
      <c r="D158" s="4">
        <f>$B$3*C158^(3/4)*(1-(C158/$B$4)^(1/4))</f>
        <v/>
      </c>
      <c r="E158" s="4">
        <f>( $B$8 + ($B$9-$B$8)*EXP(-$B$3*B158/(4*$B$8)) )^4</f>
        <v/>
      </c>
      <c r="F158" s="4">
        <f>ABS(C158-E158)</f>
        <v/>
      </c>
    </row>
    <row r="159">
      <c r="A159" s="4">
        <f>A158+1</f>
        <v/>
      </c>
      <c r="B159" s="4">
        <f>B158+$B$6</f>
        <v/>
      </c>
      <c r="C159" s="4">
        <f>C158+$B$6*D158</f>
        <v/>
      </c>
      <c r="D159" s="4">
        <f>$B$3*C159^(3/4)*(1-(C159/$B$4)^(1/4))</f>
        <v/>
      </c>
      <c r="E159" s="4">
        <f>( $B$8 + ($B$9-$B$8)*EXP(-$B$3*B159/(4*$B$8)) )^4</f>
        <v/>
      </c>
      <c r="F159" s="4">
        <f>ABS(C159-E159)</f>
        <v/>
      </c>
    </row>
    <row r="160">
      <c r="A160" s="4">
        <f>A159+1</f>
        <v/>
      </c>
      <c r="B160" s="4">
        <f>B159+$B$6</f>
        <v/>
      </c>
      <c r="C160" s="4">
        <f>C159+$B$6*D159</f>
        <v/>
      </c>
      <c r="D160" s="4">
        <f>$B$3*C160^(3/4)*(1-(C160/$B$4)^(1/4))</f>
        <v/>
      </c>
      <c r="E160" s="4">
        <f>( $B$8 + ($B$9-$B$8)*EXP(-$B$3*B160/(4*$B$8)) )^4</f>
        <v/>
      </c>
      <c r="F160" s="4">
        <f>ABS(C160-E160)</f>
        <v/>
      </c>
    </row>
    <row r="161">
      <c r="A161" s="4">
        <f>A160+1</f>
        <v/>
      </c>
      <c r="B161" s="4">
        <f>B160+$B$6</f>
        <v/>
      </c>
      <c r="C161" s="4">
        <f>C160+$B$6*D160</f>
        <v/>
      </c>
      <c r="D161" s="4">
        <f>$B$3*C161^(3/4)*(1-(C161/$B$4)^(1/4))</f>
        <v/>
      </c>
      <c r="E161" s="4">
        <f>( $B$8 + ($B$9-$B$8)*EXP(-$B$3*B161/(4*$B$8)) )^4</f>
        <v/>
      </c>
      <c r="F161" s="4">
        <f>ABS(C161-E161)</f>
        <v/>
      </c>
    </row>
    <row r="162">
      <c r="A162" s="4">
        <f>A161+1</f>
        <v/>
      </c>
      <c r="B162" s="4">
        <f>B161+$B$6</f>
        <v/>
      </c>
      <c r="C162" s="4">
        <f>C161+$B$6*D161</f>
        <v/>
      </c>
      <c r="D162" s="4">
        <f>$B$3*C162^(3/4)*(1-(C162/$B$4)^(1/4))</f>
        <v/>
      </c>
      <c r="E162" s="4">
        <f>( $B$8 + ($B$9-$B$8)*EXP(-$B$3*B162/(4*$B$8)) )^4</f>
        <v/>
      </c>
      <c r="F162" s="4">
        <f>ABS(C162-E162)</f>
        <v/>
      </c>
    </row>
    <row r="163">
      <c r="A163" s="4">
        <f>A162+1</f>
        <v/>
      </c>
      <c r="B163" s="4">
        <f>B162+$B$6</f>
        <v/>
      </c>
      <c r="C163" s="4">
        <f>C162+$B$6*D162</f>
        <v/>
      </c>
      <c r="D163" s="4">
        <f>$B$3*C163^(3/4)*(1-(C163/$B$4)^(1/4))</f>
        <v/>
      </c>
      <c r="E163" s="4">
        <f>( $B$8 + ($B$9-$B$8)*EXP(-$B$3*B163/(4*$B$8)) )^4</f>
        <v/>
      </c>
      <c r="F163" s="4">
        <f>ABS(C163-E163)</f>
        <v/>
      </c>
    </row>
    <row r="164">
      <c r="A164" s="4">
        <f>A163+1</f>
        <v/>
      </c>
      <c r="B164" s="4">
        <f>B163+$B$6</f>
        <v/>
      </c>
      <c r="C164" s="4">
        <f>C163+$B$6*D163</f>
        <v/>
      </c>
      <c r="D164" s="4">
        <f>$B$3*C164^(3/4)*(1-(C164/$B$4)^(1/4))</f>
        <v/>
      </c>
      <c r="E164" s="4">
        <f>( $B$8 + ($B$9-$B$8)*EXP(-$B$3*B164/(4*$B$8)) )^4</f>
        <v/>
      </c>
      <c r="F164" s="4">
        <f>ABS(C164-E164)</f>
        <v/>
      </c>
    </row>
    <row r="165">
      <c r="A165" s="4">
        <f>A164+1</f>
        <v/>
      </c>
      <c r="B165" s="4">
        <f>B164+$B$6</f>
        <v/>
      </c>
      <c r="C165" s="4">
        <f>C164+$B$6*D164</f>
        <v/>
      </c>
      <c r="D165" s="4">
        <f>$B$3*C165^(3/4)*(1-(C165/$B$4)^(1/4))</f>
        <v/>
      </c>
      <c r="E165" s="4">
        <f>( $B$8 + ($B$9-$B$8)*EXP(-$B$3*B165/(4*$B$8)) )^4</f>
        <v/>
      </c>
      <c r="F165" s="4">
        <f>ABS(C165-E165)</f>
        <v/>
      </c>
    </row>
    <row r="166">
      <c r="A166" s="4">
        <f>A165+1</f>
        <v/>
      </c>
      <c r="B166" s="4">
        <f>B165+$B$6</f>
        <v/>
      </c>
      <c r="C166" s="4">
        <f>C165+$B$6*D165</f>
        <v/>
      </c>
      <c r="D166" s="4">
        <f>$B$3*C166^(3/4)*(1-(C166/$B$4)^(1/4))</f>
        <v/>
      </c>
      <c r="E166" s="4">
        <f>( $B$8 + ($B$9-$B$8)*EXP(-$B$3*B166/(4*$B$8)) )^4</f>
        <v/>
      </c>
      <c r="F166" s="4">
        <f>ABS(C166-E166)</f>
        <v/>
      </c>
    </row>
    <row r="167">
      <c r="A167" s="4">
        <f>A166+1</f>
        <v/>
      </c>
      <c r="B167" s="4">
        <f>B166+$B$6</f>
        <v/>
      </c>
      <c r="C167" s="4">
        <f>C166+$B$6*D166</f>
        <v/>
      </c>
      <c r="D167" s="4">
        <f>$B$3*C167^(3/4)*(1-(C167/$B$4)^(1/4))</f>
        <v/>
      </c>
      <c r="E167" s="4">
        <f>( $B$8 + ($B$9-$B$8)*EXP(-$B$3*B167/(4*$B$8)) )^4</f>
        <v/>
      </c>
      <c r="F167" s="4">
        <f>ABS(C167-E167)</f>
        <v/>
      </c>
    </row>
    <row r="168">
      <c r="A168" s="4">
        <f>A167+1</f>
        <v/>
      </c>
      <c r="B168" s="4">
        <f>B167+$B$6</f>
        <v/>
      </c>
      <c r="C168" s="4">
        <f>C167+$B$6*D167</f>
        <v/>
      </c>
      <c r="D168" s="4">
        <f>$B$3*C168^(3/4)*(1-(C168/$B$4)^(1/4))</f>
        <v/>
      </c>
      <c r="E168" s="4">
        <f>( $B$8 + ($B$9-$B$8)*EXP(-$B$3*B168/(4*$B$8)) )^4</f>
        <v/>
      </c>
      <c r="F168" s="4">
        <f>ABS(C168-E168)</f>
        <v/>
      </c>
    </row>
    <row r="169">
      <c r="A169" s="4">
        <f>A168+1</f>
        <v/>
      </c>
      <c r="B169" s="4">
        <f>B168+$B$6</f>
        <v/>
      </c>
      <c r="C169" s="4">
        <f>C168+$B$6*D168</f>
        <v/>
      </c>
      <c r="D169" s="4">
        <f>$B$3*C169^(3/4)*(1-(C169/$B$4)^(1/4))</f>
        <v/>
      </c>
      <c r="E169" s="4">
        <f>( $B$8 + ($B$9-$B$8)*EXP(-$B$3*B169/(4*$B$8)) )^4</f>
        <v/>
      </c>
      <c r="F169" s="4">
        <f>ABS(C169-E169)</f>
        <v/>
      </c>
    </row>
    <row r="170">
      <c r="A170" s="4">
        <f>A169+1</f>
        <v/>
      </c>
      <c r="B170" s="4">
        <f>B169+$B$6</f>
        <v/>
      </c>
      <c r="C170" s="4">
        <f>C169+$B$6*D169</f>
        <v/>
      </c>
      <c r="D170" s="4">
        <f>$B$3*C170^(3/4)*(1-(C170/$B$4)^(1/4))</f>
        <v/>
      </c>
      <c r="E170" s="4">
        <f>( $B$8 + ($B$9-$B$8)*EXP(-$B$3*B170/(4*$B$8)) )^4</f>
        <v/>
      </c>
      <c r="F170" s="4">
        <f>ABS(C170-E170)</f>
        <v/>
      </c>
    </row>
    <row r="171">
      <c r="A171" s="4">
        <f>A170+1</f>
        <v/>
      </c>
      <c r="B171" s="4">
        <f>B170+$B$6</f>
        <v/>
      </c>
      <c r="C171" s="4">
        <f>C170+$B$6*D170</f>
        <v/>
      </c>
      <c r="D171" s="4">
        <f>$B$3*C171^(3/4)*(1-(C171/$B$4)^(1/4))</f>
        <v/>
      </c>
      <c r="E171" s="4">
        <f>( $B$8 + ($B$9-$B$8)*EXP(-$B$3*B171/(4*$B$8)) )^4</f>
        <v/>
      </c>
      <c r="F171" s="4">
        <f>ABS(C171-E171)</f>
        <v/>
      </c>
    </row>
    <row r="172">
      <c r="A172" s="4">
        <f>A171+1</f>
        <v/>
      </c>
      <c r="B172" s="4">
        <f>B171+$B$6</f>
        <v/>
      </c>
      <c r="C172" s="4">
        <f>C171+$B$6*D171</f>
        <v/>
      </c>
      <c r="D172" s="4">
        <f>$B$3*C172^(3/4)*(1-(C172/$B$4)^(1/4))</f>
        <v/>
      </c>
      <c r="E172" s="4">
        <f>( $B$8 + ($B$9-$B$8)*EXP(-$B$3*B172/(4*$B$8)) )^4</f>
        <v/>
      </c>
      <c r="F172" s="4">
        <f>ABS(C172-E172)</f>
        <v/>
      </c>
    </row>
    <row r="173">
      <c r="A173" s="4">
        <f>A172+1</f>
        <v/>
      </c>
      <c r="B173" s="4">
        <f>B172+$B$6</f>
        <v/>
      </c>
      <c r="C173" s="4">
        <f>C172+$B$6*D172</f>
        <v/>
      </c>
      <c r="D173" s="4">
        <f>$B$3*C173^(3/4)*(1-(C173/$B$4)^(1/4))</f>
        <v/>
      </c>
      <c r="E173" s="4">
        <f>( $B$8 + ($B$9-$B$8)*EXP(-$B$3*B173/(4*$B$8)) )^4</f>
        <v/>
      </c>
      <c r="F173" s="4">
        <f>ABS(C173-E173)</f>
        <v/>
      </c>
    </row>
    <row r="174">
      <c r="A174" s="4">
        <f>A173+1</f>
        <v/>
      </c>
      <c r="B174" s="4">
        <f>B173+$B$6</f>
        <v/>
      </c>
      <c r="C174" s="4">
        <f>C173+$B$6*D173</f>
        <v/>
      </c>
      <c r="D174" s="4">
        <f>$B$3*C174^(3/4)*(1-(C174/$B$4)^(1/4))</f>
        <v/>
      </c>
      <c r="E174" s="4">
        <f>( $B$8 + ($B$9-$B$8)*EXP(-$B$3*B174/(4*$B$8)) )^4</f>
        <v/>
      </c>
      <c r="F174" s="4">
        <f>ABS(C174-E174)</f>
        <v/>
      </c>
    </row>
    <row r="175">
      <c r="A175" s="4">
        <f>A174+1</f>
        <v/>
      </c>
      <c r="B175" s="4">
        <f>B174+$B$6</f>
        <v/>
      </c>
      <c r="C175" s="4">
        <f>C174+$B$6*D174</f>
        <v/>
      </c>
      <c r="D175" s="4">
        <f>$B$3*C175^(3/4)*(1-(C175/$B$4)^(1/4))</f>
        <v/>
      </c>
      <c r="E175" s="4">
        <f>( $B$8 + ($B$9-$B$8)*EXP(-$B$3*B175/(4*$B$8)) )^4</f>
        <v/>
      </c>
      <c r="F175" s="4">
        <f>ABS(C175-E175)</f>
        <v/>
      </c>
    </row>
    <row r="176">
      <c r="A176" s="4">
        <f>A175+1</f>
        <v/>
      </c>
      <c r="B176" s="4">
        <f>B175+$B$6</f>
        <v/>
      </c>
      <c r="C176" s="4">
        <f>C175+$B$6*D175</f>
        <v/>
      </c>
      <c r="D176" s="4">
        <f>$B$3*C176^(3/4)*(1-(C176/$B$4)^(1/4))</f>
        <v/>
      </c>
      <c r="E176" s="4">
        <f>( $B$8 + ($B$9-$B$8)*EXP(-$B$3*B176/(4*$B$8)) )^4</f>
        <v/>
      </c>
      <c r="F176" s="4">
        <f>ABS(C176-E176)</f>
        <v/>
      </c>
    </row>
    <row r="177">
      <c r="A177" s="4">
        <f>A176+1</f>
        <v/>
      </c>
      <c r="B177" s="4">
        <f>B176+$B$6</f>
        <v/>
      </c>
      <c r="C177" s="4">
        <f>C176+$B$6*D176</f>
        <v/>
      </c>
      <c r="D177" s="4">
        <f>$B$3*C177^(3/4)*(1-(C177/$B$4)^(1/4))</f>
        <v/>
      </c>
      <c r="E177" s="4">
        <f>( $B$8 + ($B$9-$B$8)*EXP(-$B$3*B177/(4*$B$8)) )^4</f>
        <v/>
      </c>
      <c r="F177" s="4">
        <f>ABS(C177-E177)</f>
        <v/>
      </c>
    </row>
    <row r="178">
      <c r="A178" s="4">
        <f>A177+1</f>
        <v/>
      </c>
      <c r="B178" s="4">
        <f>B177+$B$6</f>
        <v/>
      </c>
      <c r="C178" s="4">
        <f>C177+$B$6*D177</f>
        <v/>
      </c>
      <c r="D178" s="4">
        <f>$B$3*C178^(3/4)*(1-(C178/$B$4)^(1/4))</f>
        <v/>
      </c>
      <c r="E178" s="4">
        <f>( $B$8 + ($B$9-$B$8)*EXP(-$B$3*B178/(4*$B$8)) )^4</f>
        <v/>
      </c>
      <c r="F178" s="4">
        <f>ABS(C178-E178)</f>
        <v/>
      </c>
    </row>
    <row r="179">
      <c r="A179" s="4">
        <f>A178+1</f>
        <v/>
      </c>
      <c r="B179" s="4">
        <f>B178+$B$6</f>
        <v/>
      </c>
      <c r="C179" s="4">
        <f>C178+$B$6*D178</f>
        <v/>
      </c>
      <c r="D179" s="4">
        <f>$B$3*C179^(3/4)*(1-(C179/$B$4)^(1/4))</f>
        <v/>
      </c>
      <c r="E179" s="4">
        <f>( $B$8 + ($B$9-$B$8)*EXP(-$B$3*B179/(4*$B$8)) )^4</f>
        <v/>
      </c>
      <c r="F179" s="4">
        <f>ABS(C179-E179)</f>
        <v/>
      </c>
    </row>
    <row r="180">
      <c r="A180" s="4">
        <f>A179+1</f>
        <v/>
      </c>
      <c r="B180" s="4">
        <f>B179+$B$6</f>
        <v/>
      </c>
      <c r="C180" s="4">
        <f>C179+$B$6*D179</f>
        <v/>
      </c>
      <c r="D180" s="4">
        <f>$B$3*C180^(3/4)*(1-(C180/$B$4)^(1/4))</f>
        <v/>
      </c>
      <c r="E180" s="4">
        <f>( $B$8 + ($B$9-$B$8)*EXP(-$B$3*B180/(4*$B$8)) )^4</f>
        <v/>
      </c>
      <c r="F180" s="4">
        <f>ABS(C180-E180)</f>
        <v/>
      </c>
    </row>
    <row r="181">
      <c r="A181" s="4">
        <f>A180+1</f>
        <v/>
      </c>
      <c r="B181" s="4">
        <f>B180+$B$6</f>
        <v/>
      </c>
      <c r="C181" s="4">
        <f>C180+$B$6*D180</f>
        <v/>
      </c>
      <c r="D181" s="4">
        <f>$B$3*C181^(3/4)*(1-(C181/$B$4)^(1/4))</f>
        <v/>
      </c>
      <c r="E181" s="4">
        <f>( $B$8 + ($B$9-$B$8)*EXP(-$B$3*B181/(4*$B$8)) )^4</f>
        <v/>
      </c>
      <c r="F181" s="4">
        <f>ABS(C181-E181)</f>
        <v/>
      </c>
    </row>
    <row r="182">
      <c r="A182" s="4">
        <f>A181+1</f>
        <v/>
      </c>
      <c r="B182" s="4">
        <f>B181+$B$6</f>
        <v/>
      </c>
      <c r="C182" s="4">
        <f>C181+$B$6*D181</f>
        <v/>
      </c>
      <c r="D182" s="4">
        <f>$B$3*C182^(3/4)*(1-(C182/$B$4)^(1/4))</f>
        <v/>
      </c>
      <c r="E182" s="4">
        <f>( $B$8 + ($B$9-$B$8)*EXP(-$B$3*B182/(4*$B$8)) )^4</f>
        <v/>
      </c>
      <c r="F182" s="4">
        <f>ABS(C182-E182)</f>
        <v/>
      </c>
    </row>
    <row r="183">
      <c r="A183" s="4">
        <f>A182+1</f>
        <v/>
      </c>
      <c r="B183" s="4">
        <f>B182+$B$6</f>
        <v/>
      </c>
      <c r="C183" s="4">
        <f>C182+$B$6*D182</f>
        <v/>
      </c>
      <c r="D183" s="4">
        <f>$B$3*C183^(3/4)*(1-(C183/$B$4)^(1/4))</f>
        <v/>
      </c>
      <c r="E183" s="4">
        <f>( $B$8 + ($B$9-$B$8)*EXP(-$B$3*B183/(4*$B$8)) )^4</f>
        <v/>
      </c>
      <c r="F183" s="4">
        <f>ABS(C183-E183)</f>
        <v/>
      </c>
    </row>
    <row r="184">
      <c r="A184" s="4">
        <f>A183+1</f>
        <v/>
      </c>
      <c r="B184" s="4">
        <f>B183+$B$6</f>
        <v/>
      </c>
      <c r="C184" s="4">
        <f>C183+$B$6*D183</f>
        <v/>
      </c>
      <c r="D184" s="4">
        <f>$B$3*C184^(3/4)*(1-(C184/$B$4)^(1/4))</f>
        <v/>
      </c>
      <c r="E184" s="4">
        <f>( $B$8 + ($B$9-$B$8)*EXP(-$B$3*B184/(4*$B$8)) )^4</f>
        <v/>
      </c>
      <c r="F184" s="4">
        <f>ABS(C184-E184)</f>
        <v/>
      </c>
    </row>
    <row r="185">
      <c r="A185" s="4">
        <f>A184+1</f>
        <v/>
      </c>
      <c r="B185" s="4">
        <f>B184+$B$6</f>
        <v/>
      </c>
      <c r="C185" s="4">
        <f>C184+$B$6*D184</f>
        <v/>
      </c>
      <c r="D185" s="4">
        <f>$B$3*C185^(3/4)*(1-(C185/$B$4)^(1/4))</f>
        <v/>
      </c>
      <c r="E185" s="4">
        <f>( $B$8 + ($B$9-$B$8)*EXP(-$B$3*B185/(4*$B$8)) )^4</f>
        <v/>
      </c>
      <c r="F185" s="4">
        <f>ABS(C185-E185)</f>
        <v/>
      </c>
    </row>
    <row r="186">
      <c r="A186" s="4">
        <f>A185+1</f>
        <v/>
      </c>
      <c r="B186" s="4">
        <f>B185+$B$6</f>
        <v/>
      </c>
      <c r="C186" s="4">
        <f>C185+$B$6*D185</f>
        <v/>
      </c>
      <c r="D186" s="4">
        <f>$B$3*C186^(3/4)*(1-(C186/$B$4)^(1/4))</f>
        <v/>
      </c>
      <c r="E186" s="4">
        <f>( $B$8 + ($B$9-$B$8)*EXP(-$B$3*B186/(4*$B$8)) )^4</f>
        <v/>
      </c>
      <c r="F186" s="4">
        <f>ABS(C186-E186)</f>
        <v/>
      </c>
    </row>
    <row r="187">
      <c r="A187" s="4">
        <f>A186+1</f>
        <v/>
      </c>
      <c r="B187" s="4">
        <f>B186+$B$6</f>
        <v/>
      </c>
      <c r="C187" s="4">
        <f>C186+$B$6*D186</f>
        <v/>
      </c>
      <c r="D187" s="4">
        <f>$B$3*C187^(3/4)*(1-(C187/$B$4)^(1/4))</f>
        <v/>
      </c>
      <c r="E187" s="4">
        <f>( $B$8 + ($B$9-$B$8)*EXP(-$B$3*B187/(4*$B$8)) )^4</f>
        <v/>
      </c>
      <c r="F187" s="4">
        <f>ABS(C187-E187)</f>
        <v/>
      </c>
    </row>
    <row r="188">
      <c r="A188" s="4">
        <f>A187+1</f>
        <v/>
      </c>
      <c r="B188" s="4">
        <f>B187+$B$6</f>
        <v/>
      </c>
      <c r="C188" s="4">
        <f>C187+$B$6*D187</f>
        <v/>
      </c>
      <c r="D188" s="4">
        <f>$B$3*C188^(3/4)*(1-(C188/$B$4)^(1/4))</f>
        <v/>
      </c>
      <c r="E188" s="4">
        <f>( $B$8 + ($B$9-$B$8)*EXP(-$B$3*B188/(4*$B$8)) )^4</f>
        <v/>
      </c>
      <c r="F188" s="4">
        <f>ABS(C188-E188)</f>
        <v/>
      </c>
    </row>
    <row r="189">
      <c r="A189" s="4">
        <f>A188+1</f>
        <v/>
      </c>
      <c r="B189" s="4">
        <f>B188+$B$6</f>
        <v/>
      </c>
      <c r="C189" s="4">
        <f>C188+$B$6*D188</f>
        <v/>
      </c>
      <c r="D189" s="4">
        <f>$B$3*C189^(3/4)*(1-(C189/$B$4)^(1/4))</f>
        <v/>
      </c>
      <c r="E189" s="4">
        <f>( $B$8 + ($B$9-$B$8)*EXP(-$B$3*B189/(4*$B$8)) )^4</f>
        <v/>
      </c>
      <c r="F189" s="4">
        <f>ABS(C189-E189)</f>
        <v/>
      </c>
    </row>
    <row r="190">
      <c r="A190" s="4">
        <f>A189+1</f>
        <v/>
      </c>
      <c r="B190" s="4">
        <f>B189+$B$6</f>
        <v/>
      </c>
      <c r="C190" s="4">
        <f>C189+$B$6*D189</f>
        <v/>
      </c>
      <c r="D190" s="4">
        <f>$B$3*C190^(3/4)*(1-(C190/$B$4)^(1/4))</f>
        <v/>
      </c>
      <c r="E190" s="4">
        <f>( $B$8 + ($B$9-$B$8)*EXP(-$B$3*B190/(4*$B$8)) )^4</f>
        <v/>
      </c>
      <c r="F190" s="4">
        <f>ABS(C190-E190)</f>
        <v/>
      </c>
    </row>
    <row r="191">
      <c r="A191" s="4">
        <f>A190+1</f>
        <v/>
      </c>
      <c r="B191" s="4">
        <f>B190+$B$6</f>
        <v/>
      </c>
      <c r="C191" s="4">
        <f>C190+$B$6*D190</f>
        <v/>
      </c>
      <c r="D191" s="4">
        <f>$B$3*C191^(3/4)*(1-(C191/$B$4)^(1/4))</f>
        <v/>
      </c>
      <c r="E191" s="4">
        <f>( $B$8 + ($B$9-$B$8)*EXP(-$B$3*B191/(4*$B$8)) )^4</f>
        <v/>
      </c>
      <c r="F191" s="4">
        <f>ABS(C191-E191)</f>
        <v/>
      </c>
    </row>
    <row r="192">
      <c r="A192" s="4">
        <f>A191+1</f>
        <v/>
      </c>
      <c r="B192" s="4">
        <f>B191+$B$6</f>
        <v/>
      </c>
      <c r="C192" s="4">
        <f>C191+$B$6*D191</f>
        <v/>
      </c>
      <c r="D192" s="4">
        <f>$B$3*C192^(3/4)*(1-(C192/$B$4)^(1/4))</f>
        <v/>
      </c>
      <c r="E192" s="4">
        <f>( $B$8 + ($B$9-$B$8)*EXP(-$B$3*B192/(4*$B$8)) )^4</f>
        <v/>
      </c>
      <c r="F192" s="4">
        <f>ABS(C192-E192)</f>
        <v/>
      </c>
    </row>
    <row r="193">
      <c r="A193" s="4">
        <f>A192+1</f>
        <v/>
      </c>
      <c r="B193" s="4">
        <f>B192+$B$6</f>
        <v/>
      </c>
      <c r="C193" s="4">
        <f>C192+$B$6*D192</f>
        <v/>
      </c>
      <c r="D193" s="4">
        <f>$B$3*C193^(3/4)*(1-(C193/$B$4)^(1/4))</f>
        <v/>
      </c>
      <c r="E193" s="4">
        <f>( $B$8 + ($B$9-$B$8)*EXP(-$B$3*B193/(4*$B$8)) )^4</f>
        <v/>
      </c>
      <c r="F193" s="4">
        <f>ABS(C193-E193)</f>
        <v/>
      </c>
    </row>
    <row r="194">
      <c r="A194" s="4">
        <f>A193+1</f>
        <v/>
      </c>
      <c r="B194" s="4">
        <f>B193+$B$6</f>
        <v/>
      </c>
      <c r="C194" s="4">
        <f>C193+$B$6*D193</f>
        <v/>
      </c>
      <c r="D194" s="4">
        <f>$B$3*C194^(3/4)*(1-(C194/$B$4)^(1/4))</f>
        <v/>
      </c>
      <c r="E194" s="4">
        <f>( $B$8 + ($B$9-$B$8)*EXP(-$B$3*B194/(4*$B$8)) )^4</f>
        <v/>
      </c>
      <c r="F194" s="4">
        <f>ABS(C194-E194)</f>
        <v/>
      </c>
    </row>
    <row r="195">
      <c r="A195" s="4">
        <f>A194+1</f>
        <v/>
      </c>
      <c r="B195" s="4">
        <f>B194+$B$6</f>
        <v/>
      </c>
      <c r="C195" s="4">
        <f>C194+$B$6*D194</f>
        <v/>
      </c>
      <c r="D195" s="4">
        <f>$B$3*C195^(3/4)*(1-(C195/$B$4)^(1/4))</f>
        <v/>
      </c>
      <c r="E195" s="4">
        <f>( $B$8 + ($B$9-$B$8)*EXP(-$B$3*B195/(4*$B$8)) )^4</f>
        <v/>
      </c>
      <c r="F195" s="4">
        <f>ABS(C195-E195)</f>
        <v/>
      </c>
    </row>
    <row r="196">
      <c r="A196" s="4">
        <f>A195+1</f>
        <v/>
      </c>
      <c r="B196" s="4">
        <f>B195+$B$6</f>
        <v/>
      </c>
      <c r="C196" s="4">
        <f>C195+$B$6*D195</f>
        <v/>
      </c>
      <c r="D196" s="4">
        <f>$B$3*C196^(3/4)*(1-(C196/$B$4)^(1/4))</f>
        <v/>
      </c>
      <c r="E196" s="4">
        <f>( $B$8 + ($B$9-$B$8)*EXP(-$B$3*B196/(4*$B$8)) )^4</f>
        <v/>
      </c>
      <c r="F196" s="4">
        <f>ABS(C196-E196)</f>
        <v/>
      </c>
    </row>
    <row r="197">
      <c r="A197" s="4">
        <f>A196+1</f>
        <v/>
      </c>
      <c r="B197" s="4">
        <f>B196+$B$6</f>
        <v/>
      </c>
      <c r="C197" s="4">
        <f>C196+$B$6*D196</f>
        <v/>
      </c>
      <c r="D197" s="4">
        <f>$B$3*C197^(3/4)*(1-(C197/$B$4)^(1/4))</f>
        <v/>
      </c>
      <c r="E197" s="4">
        <f>( $B$8 + ($B$9-$B$8)*EXP(-$B$3*B197/(4*$B$8)) )^4</f>
        <v/>
      </c>
      <c r="F197" s="4">
        <f>ABS(C197-E197)</f>
        <v/>
      </c>
    </row>
    <row r="198">
      <c r="A198" s="4">
        <f>A197+1</f>
        <v/>
      </c>
      <c r="B198" s="4">
        <f>B197+$B$6</f>
        <v/>
      </c>
      <c r="C198" s="4">
        <f>C197+$B$6*D197</f>
        <v/>
      </c>
      <c r="D198" s="4">
        <f>$B$3*C198^(3/4)*(1-(C198/$B$4)^(1/4))</f>
        <v/>
      </c>
      <c r="E198" s="4">
        <f>( $B$8 + ($B$9-$B$8)*EXP(-$B$3*B198/(4*$B$8)) )^4</f>
        <v/>
      </c>
      <c r="F198" s="4">
        <f>ABS(C198-E198)</f>
        <v/>
      </c>
    </row>
    <row r="199">
      <c r="A199" s="4">
        <f>A198+1</f>
        <v/>
      </c>
      <c r="B199" s="4">
        <f>B198+$B$6</f>
        <v/>
      </c>
      <c r="C199" s="4">
        <f>C198+$B$6*D198</f>
        <v/>
      </c>
      <c r="D199" s="4">
        <f>$B$3*C199^(3/4)*(1-(C199/$B$4)^(1/4))</f>
        <v/>
      </c>
      <c r="E199" s="4">
        <f>( $B$8 + ($B$9-$B$8)*EXP(-$B$3*B199/(4*$B$8)) )^4</f>
        <v/>
      </c>
      <c r="F199" s="4">
        <f>ABS(C199-E199)</f>
        <v/>
      </c>
    </row>
    <row r="200">
      <c r="A200" s="4">
        <f>A199+1</f>
        <v/>
      </c>
      <c r="B200" s="4">
        <f>B199+$B$6</f>
        <v/>
      </c>
      <c r="C200" s="4">
        <f>C199+$B$6*D199</f>
        <v/>
      </c>
      <c r="D200" s="4">
        <f>$B$3*C200^(3/4)*(1-(C200/$B$4)^(1/4))</f>
        <v/>
      </c>
      <c r="E200" s="4">
        <f>( $B$8 + ($B$9-$B$8)*EXP(-$B$3*B200/(4*$B$8)) )^4</f>
        <v/>
      </c>
      <c r="F200" s="4">
        <f>ABS(C200-E200)</f>
        <v/>
      </c>
    </row>
    <row r="201">
      <c r="A201" s="4">
        <f>A200+1</f>
        <v/>
      </c>
      <c r="B201" s="4">
        <f>B200+$B$6</f>
        <v/>
      </c>
      <c r="C201" s="4">
        <f>C200+$B$6*D200</f>
        <v/>
      </c>
      <c r="D201" s="4">
        <f>$B$3*C201^(3/4)*(1-(C201/$B$4)^(1/4))</f>
        <v/>
      </c>
      <c r="E201" s="4">
        <f>( $B$8 + ($B$9-$B$8)*EXP(-$B$3*B201/(4*$B$8)) )^4</f>
        <v/>
      </c>
      <c r="F201" s="4">
        <f>ABS(C201-E201)</f>
        <v/>
      </c>
    </row>
    <row r="202">
      <c r="A202" s="4">
        <f>A201+1</f>
        <v/>
      </c>
      <c r="B202" s="4">
        <f>B201+$B$6</f>
        <v/>
      </c>
      <c r="C202" s="4">
        <f>C201+$B$6*D201</f>
        <v/>
      </c>
      <c r="D202" s="4">
        <f>$B$3*C202^(3/4)*(1-(C202/$B$4)^(1/4))</f>
        <v/>
      </c>
      <c r="E202" s="4">
        <f>( $B$8 + ($B$9-$B$8)*EXP(-$B$3*B202/(4*$B$8)) )^4</f>
        <v/>
      </c>
      <c r="F202" s="4">
        <f>ABS(C202-E202)</f>
        <v/>
      </c>
    </row>
    <row r="203">
      <c r="A203" s="4">
        <f>A202+1</f>
        <v/>
      </c>
      <c r="B203" s="4">
        <f>B202+$B$6</f>
        <v/>
      </c>
      <c r="C203" s="4">
        <f>C202+$B$6*D202</f>
        <v/>
      </c>
      <c r="D203" s="4">
        <f>$B$3*C203^(3/4)*(1-(C203/$B$4)^(1/4))</f>
        <v/>
      </c>
      <c r="E203" s="4">
        <f>( $B$8 + ($B$9-$B$8)*EXP(-$B$3*B203/(4*$B$8)) )^4</f>
        <v/>
      </c>
      <c r="F203" s="4">
        <f>ABS(C203-E203)</f>
        <v/>
      </c>
    </row>
    <row r="204">
      <c r="A204" s="4">
        <f>A203+1</f>
        <v/>
      </c>
      <c r="B204" s="4">
        <f>B203+$B$6</f>
        <v/>
      </c>
      <c r="C204" s="4">
        <f>C203+$B$6*D203</f>
        <v/>
      </c>
      <c r="D204" s="4">
        <f>$B$3*C204^(3/4)*(1-(C204/$B$4)^(1/4))</f>
        <v/>
      </c>
      <c r="E204" s="4">
        <f>( $B$8 + ($B$9-$B$8)*EXP(-$B$3*B204/(4*$B$8)) )^4</f>
        <v/>
      </c>
      <c r="F204" s="4">
        <f>ABS(C204-E204)</f>
        <v/>
      </c>
    </row>
    <row r="205">
      <c r="A205" s="4">
        <f>A204+1</f>
        <v/>
      </c>
      <c r="B205" s="4">
        <f>B204+$B$6</f>
        <v/>
      </c>
      <c r="C205" s="4">
        <f>C204+$B$6*D204</f>
        <v/>
      </c>
      <c r="D205" s="4">
        <f>$B$3*C205^(3/4)*(1-(C205/$B$4)^(1/4))</f>
        <v/>
      </c>
      <c r="E205" s="4">
        <f>( $B$8 + ($B$9-$B$8)*EXP(-$B$3*B205/(4*$B$8)) )^4</f>
        <v/>
      </c>
      <c r="F205" s="4">
        <f>ABS(C205-E205)</f>
        <v/>
      </c>
    </row>
    <row r="206">
      <c r="A206" s="4">
        <f>A205+1</f>
        <v/>
      </c>
      <c r="B206" s="4">
        <f>B205+$B$6</f>
        <v/>
      </c>
      <c r="C206" s="4">
        <f>C205+$B$6*D205</f>
        <v/>
      </c>
      <c r="D206" s="4">
        <f>$B$3*C206^(3/4)*(1-(C206/$B$4)^(1/4))</f>
        <v/>
      </c>
      <c r="E206" s="4">
        <f>( $B$8 + ($B$9-$B$8)*EXP(-$B$3*B206/(4*$B$8)) )^4</f>
        <v/>
      </c>
      <c r="F206" s="4">
        <f>ABS(C206-E206)</f>
        <v/>
      </c>
    </row>
    <row r="207">
      <c r="A207" s="4">
        <f>A206+1</f>
        <v/>
      </c>
      <c r="B207" s="4">
        <f>B206+$B$6</f>
        <v/>
      </c>
      <c r="C207" s="4">
        <f>C206+$B$6*D206</f>
        <v/>
      </c>
      <c r="D207" s="4">
        <f>$B$3*C207^(3/4)*(1-(C207/$B$4)^(1/4))</f>
        <v/>
      </c>
      <c r="E207" s="4">
        <f>( $B$8 + ($B$9-$B$8)*EXP(-$B$3*B207/(4*$B$8)) )^4</f>
        <v/>
      </c>
      <c r="F207" s="4">
        <f>ABS(C207-E207)</f>
        <v/>
      </c>
    </row>
    <row r="208">
      <c r="A208" s="4">
        <f>A207+1</f>
        <v/>
      </c>
      <c r="B208" s="4">
        <f>B207+$B$6</f>
        <v/>
      </c>
      <c r="C208" s="4">
        <f>C207+$B$6*D207</f>
        <v/>
      </c>
      <c r="D208" s="4">
        <f>$B$3*C208^(3/4)*(1-(C208/$B$4)^(1/4))</f>
        <v/>
      </c>
      <c r="E208" s="4">
        <f>( $B$8 + ($B$9-$B$8)*EXP(-$B$3*B208/(4*$B$8)) )^4</f>
        <v/>
      </c>
      <c r="F208" s="4">
        <f>ABS(C208-E208)</f>
        <v/>
      </c>
    </row>
    <row r="209">
      <c r="A209" s="4">
        <f>A208+1</f>
        <v/>
      </c>
      <c r="B209" s="4">
        <f>B208+$B$6</f>
        <v/>
      </c>
      <c r="C209" s="4">
        <f>C208+$B$6*D208</f>
        <v/>
      </c>
      <c r="D209" s="4">
        <f>$B$3*C209^(3/4)*(1-(C209/$B$4)^(1/4))</f>
        <v/>
      </c>
      <c r="E209" s="4">
        <f>( $B$8 + ($B$9-$B$8)*EXP(-$B$3*B209/(4*$B$8)) )^4</f>
        <v/>
      </c>
      <c r="F209" s="4">
        <f>ABS(C209-E209)</f>
        <v/>
      </c>
    </row>
    <row r="210">
      <c r="A210" s="4">
        <f>A209+1</f>
        <v/>
      </c>
      <c r="B210" s="4">
        <f>B209+$B$6</f>
        <v/>
      </c>
      <c r="C210" s="4">
        <f>C209+$B$6*D209</f>
        <v/>
      </c>
      <c r="D210" s="4">
        <f>$B$3*C210^(3/4)*(1-(C210/$B$4)^(1/4))</f>
        <v/>
      </c>
      <c r="E210" s="4">
        <f>( $B$8 + ($B$9-$B$8)*EXP(-$B$3*B210/(4*$B$8)) )^4</f>
        <v/>
      </c>
      <c r="F210" s="4">
        <f>ABS(C210-E210)</f>
        <v/>
      </c>
    </row>
    <row r="211">
      <c r="A211" s="4">
        <f>A210+1</f>
        <v/>
      </c>
      <c r="B211" s="4">
        <f>B210+$B$6</f>
        <v/>
      </c>
      <c r="C211" s="4">
        <f>C210+$B$6*D210</f>
        <v/>
      </c>
      <c r="D211" s="4">
        <f>$B$3*C211^(3/4)*(1-(C211/$B$4)^(1/4))</f>
        <v/>
      </c>
      <c r="E211" s="4">
        <f>( $B$8 + ($B$9-$B$8)*EXP(-$B$3*B211/(4*$B$8)) )^4</f>
        <v/>
      </c>
      <c r="F211" s="4">
        <f>ABS(C211-E211)</f>
        <v/>
      </c>
    </row>
    <row r="212">
      <c r="A212" s="4">
        <f>A211+1</f>
        <v/>
      </c>
      <c r="B212" s="4">
        <f>B211+$B$6</f>
        <v/>
      </c>
      <c r="C212" s="4">
        <f>C211+$B$6*D211</f>
        <v/>
      </c>
      <c r="D212" s="4">
        <f>$B$3*C212^(3/4)*(1-(C212/$B$4)^(1/4))</f>
        <v/>
      </c>
      <c r="E212" s="4">
        <f>( $B$8 + ($B$9-$B$8)*EXP(-$B$3*B212/(4*$B$8)) )^4</f>
        <v/>
      </c>
      <c r="F212" s="4">
        <f>ABS(C212-E212)</f>
        <v/>
      </c>
    </row>
    <row r="213">
      <c r="A213" s="4">
        <f>A212+1</f>
        <v/>
      </c>
      <c r="B213" s="4">
        <f>B212+$B$6</f>
        <v/>
      </c>
      <c r="C213" s="4">
        <f>C212+$B$6*D212</f>
        <v/>
      </c>
      <c r="D213" s="4">
        <f>$B$3*C213^(3/4)*(1-(C213/$B$4)^(1/4))</f>
        <v/>
      </c>
      <c r="E213" s="4">
        <f>( $B$8 + ($B$9-$B$8)*EXP(-$B$3*B213/(4*$B$8)) )^4</f>
        <v/>
      </c>
      <c r="F213" s="4">
        <f>ABS(C213-E213)</f>
        <v/>
      </c>
    </row>
    <row r="214">
      <c r="A214" s="4">
        <f>A213+1</f>
        <v/>
      </c>
      <c r="B214" s="4">
        <f>B213+$B$6</f>
        <v/>
      </c>
      <c r="C214" s="4">
        <f>C213+$B$6*D213</f>
        <v/>
      </c>
      <c r="D214" s="4">
        <f>$B$3*C214^(3/4)*(1-(C214/$B$4)^(1/4))</f>
        <v/>
      </c>
      <c r="E214" s="4">
        <f>( $B$8 + ($B$9-$B$8)*EXP(-$B$3*B214/(4*$B$8)) )^4</f>
        <v/>
      </c>
      <c r="F214" s="4">
        <f>ABS(C214-E214)</f>
        <v/>
      </c>
    </row>
    <row r="215">
      <c r="A215" s="4">
        <f>A214+1</f>
        <v/>
      </c>
      <c r="B215" s="4">
        <f>B214+$B$6</f>
        <v/>
      </c>
      <c r="C215" s="4">
        <f>C214+$B$6*D214</f>
        <v/>
      </c>
      <c r="D215" s="4">
        <f>$B$3*C215^(3/4)*(1-(C215/$B$4)^(1/4))</f>
        <v/>
      </c>
      <c r="E215" s="4">
        <f>( $B$8 + ($B$9-$B$8)*EXP(-$B$3*B215/(4*$B$8)) )^4</f>
        <v/>
      </c>
      <c r="F215" s="4">
        <f>ABS(C215-E215)</f>
        <v/>
      </c>
    </row>
    <row r="216">
      <c r="A216" s="4">
        <f>A215+1</f>
        <v/>
      </c>
      <c r="B216" s="4">
        <f>B215+$B$6</f>
        <v/>
      </c>
      <c r="C216" s="4">
        <f>C215+$B$6*D215</f>
        <v/>
      </c>
      <c r="D216" s="4">
        <f>$B$3*C216^(3/4)*(1-(C216/$B$4)^(1/4))</f>
        <v/>
      </c>
      <c r="E216" s="4">
        <f>( $B$8 + ($B$9-$B$8)*EXP(-$B$3*B216/(4*$B$8)) )^4</f>
        <v/>
      </c>
      <c r="F216" s="4">
        <f>ABS(C216-E216)</f>
        <v/>
      </c>
    </row>
    <row r="217">
      <c r="A217" s="4">
        <f>A216+1</f>
        <v/>
      </c>
      <c r="B217" s="4">
        <f>B216+$B$6</f>
        <v/>
      </c>
      <c r="C217" s="4">
        <f>C216+$B$6*D216</f>
        <v/>
      </c>
      <c r="D217" s="4">
        <f>$B$3*C217^(3/4)*(1-(C217/$B$4)^(1/4))</f>
        <v/>
      </c>
      <c r="E217" s="4">
        <f>( $B$8 + ($B$9-$B$8)*EXP(-$B$3*B217/(4*$B$8)) )^4</f>
        <v/>
      </c>
      <c r="F217" s="4">
        <f>ABS(C217-E217)</f>
        <v/>
      </c>
    </row>
    <row r="218">
      <c r="A218" s="4">
        <f>A217+1</f>
        <v/>
      </c>
      <c r="B218" s="4">
        <f>B217+$B$6</f>
        <v/>
      </c>
      <c r="C218" s="4">
        <f>C217+$B$6*D217</f>
        <v/>
      </c>
      <c r="D218" s="4">
        <f>$B$3*C218^(3/4)*(1-(C218/$B$4)^(1/4))</f>
        <v/>
      </c>
      <c r="E218" s="4">
        <f>( $B$8 + ($B$9-$B$8)*EXP(-$B$3*B218/(4*$B$8)) )^4</f>
        <v/>
      </c>
      <c r="F218" s="4">
        <f>ABS(C218-E218)</f>
        <v/>
      </c>
    </row>
    <row r="219">
      <c r="A219" s="4">
        <f>A218+1</f>
        <v/>
      </c>
      <c r="B219" s="4">
        <f>B218+$B$6</f>
        <v/>
      </c>
      <c r="C219" s="4">
        <f>C218+$B$6*D218</f>
        <v/>
      </c>
      <c r="D219" s="4">
        <f>$B$3*C219^(3/4)*(1-(C219/$B$4)^(1/4))</f>
        <v/>
      </c>
      <c r="E219" s="4">
        <f>( $B$8 + ($B$9-$B$8)*EXP(-$B$3*B219/(4*$B$8)) )^4</f>
        <v/>
      </c>
      <c r="F219" s="4">
        <f>ABS(C219-E219)</f>
        <v/>
      </c>
    </row>
    <row r="220">
      <c r="A220" s="4">
        <f>A219+1</f>
        <v/>
      </c>
      <c r="B220" s="4">
        <f>B219+$B$6</f>
        <v/>
      </c>
      <c r="C220" s="4">
        <f>C219+$B$6*D219</f>
        <v/>
      </c>
      <c r="D220" s="4">
        <f>$B$3*C220^(3/4)*(1-(C220/$B$4)^(1/4))</f>
        <v/>
      </c>
      <c r="E220" s="4">
        <f>( $B$8 + ($B$9-$B$8)*EXP(-$B$3*B220/(4*$B$8)) )^4</f>
        <v/>
      </c>
      <c r="F220" s="4">
        <f>ABS(C220-E220)</f>
        <v/>
      </c>
    </row>
    <row r="221">
      <c r="A221" s="4">
        <f>A220+1</f>
        <v/>
      </c>
      <c r="B221" s="4">
        <f>B220+$B$6</f>
        <v/>
      </c>
      <c r="C221" s="4">
        <f>C220+$B$6*D220</f>
        <v/>
      </c>
      <c r="D221" s="4">
        <f>$B$3*C221^(3/4)*(1-(C221/$B$4)^(1/4))</f>
        <v/>
      </c>
      <c r="E221" s="4">
        <f>( $B$8 + ($B$9-$B$8)*EXP(-$B$3*B221/(4*$B$8)) )^4</f>
        <v/>
      </c>
      <c r="F221" s="4">
        <f>ABS(C221-E221)</f>
        <v/>
      </c>
    </row>
    <row r="222">
      <c r="A222" s="4">
        <f>A221+1</f>
        <v/>
      </c>
      <c r="B222" s="4">
        <f>B221+$B$6</f>
        <v/>
      </c>
      <c r="C222" s="4">
        <f>C221+$B$6*D221</f>
        <v/>
      </c>
      <c r="D222" s="4">
        <f>$B$3*C222^(3/4)*(1-(C222/$B$4)^(1/4))</f>
        <v/>
      </c>
      <c r="E222" s="4">
        <f>( $B$8 + ($B$9-$B$8)*EXP(-$B$3*B222/(4*$B$8)) )^4</f>
        <v/>
      </c>
      <c r="F222" s="4">
        <f>ABS(C222-E222)</f>
        <v/>
      </c>
    </row>
    <row r="223">
      <c r="A223" s="4">
        <f>A222+1</f>
        <v/>
      </c>
      <c r="B223" s="4">
        <f>B222+$B$6</f>
        <v/>
      </c>
      <c r="C223" s="4">
        <f>C222+$B$6*D222</f>
        <v/>
      </c>
      <c r="D223" s="4">
        <f>$B$3*C223^(3/4)*(1-(C223/$B$4)^(1/4))</f>
        <v/>
      </c>
      <c r="E223" s="4">
        <f>( $B$8 + ($B$9-$B$8)*EXP(-$B$3*B223/(4*$B$8)) )^4</f>
        <v/>
      </c>
      <c r="F223" s="4">
        <f>ABS(C223-E223)</f>
        <v/>
      </c>
    </row>
    <row r="224">
      <c r="A224" s="4">
        <f>A223+1</f>
        <v/>
      </c>
      <c r="B224" s="4">
        <f>B223+$B$6</f>
        <v/>
      </c>
      <c r="C224" s="4">
        <f>C223+$B$6*D223</f>
        <v/>
      </c>
      <c r="D224" s="4">
        <f>$B$3*C224^(3/4)*(1-(C224/$B$4)^(1/4))</f>
        <v/>
      </c>
      <c r="E224" s="4">
        <f>( $B$8 + ($B$9-$B$8)*EXP(-$B$3*B224/(4*$B$8)) )^4</f>
        <v/>
      </c>
      <c r="F224" s="4">
        <f>ABS(C224-E224)</f>
        <v/>
      </c>
    </row>
    <row r="225">
      <c r="A225" s="4">
        <f>A224+1</f>
        <v/>
      </c>
      <c r="B225" s="4">
        <f>B224+$B$6</f>
        <v/>
      </c>
      <c r="C225" s="4">
        <f>C224+$B$6*D224</f>
        <v/>
      </c>
      <c r="D225" s="4">
        <f>$B$3*C225^(3/4)*(1-(C225/$B$4)^(1/4))</f>
        <v/>
      </c>
      <c r="E225" s="4">
        <f>( $B$8 + ($B$9-$B$8)*EXP(-$B$3*B225/(4*$B$8)) )^4</f>
        <v/>
      </c>
      <c r="F225" s="4">
        <f>ABS(C225-E225)</f>
        <v/>
      </c>
    </row>
    <row r="226">
      <c r="A226" s="4">
        <f>A225+1</f>
        <v/>
      </c>
      <c r="B226" s="4">
        <f>B225+$B$6</f>
        <v/>
      </c>
      <c r="C226" s="4">
        <f>C225+$B$6*D225</f>
        <v/>
      </c>
      <c r="D226" s="4">
        <f>$B$3*C226^(3/4)*(1-(C226/$B$4)^(1/4))</f>
        <v/>
      </c>
      <c r="E226" s="4">
        <f>( $B$8 + ($B$9-$B$8)*EXP(-$B$3*B226/(4*$B$8)) )^4</f>
        <v/>
      </c>
      <c r="F226" s="4">
        <f>ABS(C226-E226)</f>
        <v/>
      </c>
    </row>
    <row r="227">
      <c r="A227" s="4">
        <f>A226+1</f>
        <v/>
      </c>
      <c r="B227" s="4">
        <f>B226+$B$6</f>
        <v/>
      </c>
      <c r="C227" s="4">
        <f>C226+$B$6*D226</f>
        <v/>
      </c>
      <c r="D227" s="4">
        <f>$B$3*C227^(3/4)*(1-(C227/$B$4)^(1/4))</f>
        <v/>
      </c>
      <c r="E227" s="4">
        <f>( $B$8 + ($B$9-$B$8)*EXP(-$B$3*B227/(4*$B$8)) )^4</f>
        <v/>
      </c>
      <c r="F227" s="4">
        <f>ABS(C227-E227)</f>
        <v/>
      </c>
    </row>
    <row r="228">
      <c r="A228" s="4">
        <f>A227+1</f>
        <v/>
      </c>
      <c r="B228" s="4">
        <f>B227+$B$6</f>
        <v/>
      </c>
      <c r="C228" s="4">
        <f>C227+$B$6*D227</f>
        <v/>
      </c>
      <c r="D228" s="4">
        <f>$B$3*C228^(3/4)*(1-(C228/$B$4)^(1/4))</f>
        <v/>
      </c>
      <c r="E228" s="4">
        <f>( $B$8 + ($B$9-$B$8)*EXP(-$B$3*B228/(4*$B$8)) )^4</f>
        <v/>
      </c>
      <c r="F228" s="4">
        <f>ABS(C228-E228)</f>
        <v/>
      </c>
    </row>
    <row r="229">
      <c r="A229" s="4">
        <f>A228+1</f>
        <v/>
      </c>
      <c r="B229" s="4">
        <f>B228+$B$6</f>
        <v/>
      </c>
      <c r="C229" s="4">
        <f>C228+$B$6*D228</f>
        <v/>
      </c>
      <c r="D229" s="4">
        <f>$B$3*C229^(3/4)*(1-(C229/$B$4)^(1/4))</f>
        <v/>
      </c>
      <c r="E229" s="4">
        <f>( $B$8 + ($B$9-$B$8)*EXP(-$B$3*B229/(4*$B$8)) )^4</f>
        <v/>
      </c>
      <c r="F229" s="4">
        <f>ABS(C229-E229)</f>
        <v/>
      </c>
    </row>
    <row r="230">
      <c r="A230" s="4">
        <f>A229+1</f>
        <v/>
      </c>
      <c r="B230" s="4">
        <f>B229+$B$6</f>
        <v/>
      </c>
      <c r="C230" s="4">
        <f>C229+$B$6*D229</f>
        <v/>
      </c>
      <c r="D230" s="4">
        <f>$B$3*C230^(3/4)*(1-(C230/$B$4)^(1/4))</f>
        <v/>
      </c>
      <c r="E230" s="4">
        <f>( $B$8 + ($B$9-$B$8)*EXP(-$B$3*B230/(4*$B$8)) )^4</f>
        <v/>
      </c>
      <c r="F230" s="4">
        <f>ABS(C230-E230)</f>
        <v/>
      </c>
    </row>
    <row r="231">
      <c r="A231" s="4">
        <f>A230+1</f>
        <v/>
      </c>
      <c r="B231" s="4">
        <f>B230+$B$6</f>
        <v/>
      </c>
      <c r="C231" s="4">
        <f>C230+$B$6*D230</f>
        <v/>
      </c>
      <c r="D231" s="4">
        <f>$B$3*C231^(3/4)*(1-(C231/$B$4)^(1/4))</f>
        <v/>
      </c>
      <c r="E231" s="4">
        <f>( $B$8 + ($B$9-$B$8)*EXP(-$B$3*B231/(4*$B$8)) )^4</f>
        <v/>
      </c>
      <c r="F231" s="4">
        <f>ABS(C231-E231)</f>
        <v/>
      </c>
    </row>
    <row r="232">
      <c r="A232" s="4">
        <f>A231+1</f>
        <v/>
      </c>
      <c r="B232" s="4">
        <f>B231+$B$6</f>
        <v/>
      </c>
      <c r="C232" s="4">
        <f>C231+$B$6*D231</f>
        <v/>
      </c>
      <c r="D232" s="4">
        <f>$B$3*C232^(3/4)*(1-(C232/$B$4)^(1/4))</f>
        <v/>
      </c>
      <c r="E232" s="4">
        <f>( $B$8 + ($B$9-$B$8)*EXP(-$B$3*B232/(4*$B$8)) )^4</f>
        <v/>
      </c>
      <c r="F232" s="4">
        <f>ABS(C232-E232)</f>
        <v/>
      </c>
    </row>
    <row r="233">
      <c r="A233" s="4">
        <f>A232+1</f>
        <v/>
      </c>
      <c r="B233" s="4">
        <f>B232+$B$6</f>
        <v/>
      </c>
      <c r="C233" s="4">
        <f>C232+$B$6*D232</f>
        <v/>
      </c>
      <c r="D233" s="4">
        <f>$B$3*C233^(3/4)*(1-(C233/$B$4)^(1/4))</f>
        <v/>
      </c>
      <c r="E233" s="4">
        <f>( $B$8 + ($B$9-$B$8)*EXP(-$B$3*B233/(4*$B$8)) )^4</f>
        <v/>
      </c>
      <c r="F233" s="4">
        <f>ABS(C233-E233)</f>
        <v/>
      </c>
    </row>
    <row r="234">
      <c r="A234" s="4">
        <f>A233+1</f>
        <v/>
      </c>
      <c r="B234" s="4">
        <f>B233+$B$6</f>
        <v/>
      </c>
      <c r="C234" s="4">
        <f>C233+$B$6*D233</f>
        <v/>
      </c>
      <c r="D234" s="4">
        <f>$B$3*C234^(3/4)*(1-(C234/$B$4)^(1/4))</f>
        <v/>
      </c>
      <c r="E234" s="4">
        <f>( $B$8 + ($B$9-$B$8)*EXP(-$B$3*B234/(4*$B$8)) )^4</f>
        <v/>
      </c>
      <c r="F234" s="4">
        <f>ABS(C234-E234)</f>
        <v/>
      </c>
    </row>
    <row r="235">
      <c r="A235" s="4">
        <f>A234+1</f>
        <v/>
      </c>
      <c r="B235" s="4">
        <f>B234+$B$6</f>
        <v/>
      </c>
      <c r="C235" s="4">
        <f>C234+$B$6*D234</f>
        <v/>
      </c>
      <c r="D235" s="4">
        <f>$B$3*C235^(3/4)*(1-(C235/$B$4)^(1/4))</f>
        <v/>
      </c>
      <c r="E235" s="4">
        <f>( $B$8 + ($B$9-$B$8)*EXP(-$B$3*B235/(4*$B$8)) )^4</f>
        <v/>
      </c>
      <c r="F235" s="4">
        <f>ABS(C235-E235)</f>
        <v/>
      </c>
    </row>
    <row r="236">
      <c r="A236" s="4">
        <f>A235+1</f>
        <v/>
      </c>
      <c r="B236" s="4">
        <f>B235+$B$6</f>
        <v/>
      </c>
      <c r="C236" s="4">
        <f>C235+$B$6*D235</f>
        <v/>
      </c>
      <c r="D236" s="4">
        <f>$B$3*C236^(3/4)*(1-(C236/$B$4)^(1/4))</f>
        <v/>
      </c>
      <c r="E236" s="4">
        <f>( $B$8 + ($B$9-$B$8)*EXP(-$B$3*B236/(4*$B$8)) )^4</f>
        <v/>
      </c>
      <c r="F236" s="4">
        <f>ABS(C236-E236)</f>
        <v/>
      </c>
    </row>
    <row r="237">
      <c r="A237" s="4">
        <f>A236+1</f>
        <v/>
      </c>
      <c r="B237" s="4">
        <f>B236+$B$6</f>
        <v/>
      </c>
      <c r="C237" s="4">
        <f>C236+$B$6*D236</f>
        <v/>
      </c>
      <c r="D237" s="4">
        <f>$B$3*C237^(3/4)*(1-(C237/$B$4)^(1/4))</f>
        <v/>
      </c>
      <c r="E237" s="4">
        <f>( $B$8 + ($B$9-$B$8)*EXP(-$B$3*B237/(4*$B$8)) )^4</f>
        <v/>
      </c>
      <c r="F237" s="4">
        <f>ABS(C237-E237)</f>
        <v/>
      </c>
    </row>
    <row r="238">
      <c r="A238" s="4">
        <f>A237+1</f>
        <v/>
      </c>
      <c r="B238" s="4">
        <f>B237+$B$6</f>
        <v/>
      </c>
      <c r="C238" s="4">
        <f>C237+$B$6*D237</f>
        <v/>
      </c>
      <c r="D238" s="4">
        <f>$B$3*C238^(3/4)*(1-(C238/$B$4)^(1/4))</f>
        <v/>
      </c>
      <c r="E238" s="4">
        <f>( $B$8 + ($B$9-$B$8)*EXP(-$B$3*B238/(4*$B$8)) )^4</f>
        <v/>
      </c>
      <c r="F238" s="4">
        <f>ABS(C238-E238)</f>
        <v/>
      </c>
    </row>
    <row r="239">
      <c r="A239" s="4">
        <f>A238+1</f>
        <v/>
      </c>
      <c r="B239" s="4">
        <f>B238+$B$6</f>
        <v/>
      </c>
      <c r="C239" s="4">
        <f>C238+$B$6*D238</f>
        <v/>
      </c>
      <c r="D239" s="4">
        <f>$B$3*C239^(3/4)*(1-(C239/$B$4)^(1/4))</f>
        <v/>
      </c>
      <c r="E239" s="4">
        <f>( $B$8 + ($B$9-$B$8)*EXP(-$B$3*B239/(4*$B$8)) )^4</f>
        <v/>
      </c>
      <c r="F239" s="4">
        <f>ABS(C239-E239)</f>
        <v/>
      </c>
    </row>
    <row r="240">
      <c r="A240" s="4">
        <f>A239+1</f>
        <v/>
      </c>
      <c r="B240" s="4">
        <f>B239+$B$6</f>
        <v/>
      </c>
      <c r="C240" s="4">
        <f>C239+$B$6*D239</f>
        <v/>
      </c>
      <c r="D240" s="4">
        <f>$B$3*C240^(3/4)*(1-(C240/$B$4)^(1/4))</f>
        <v/>
      </c>
      <c r="E240" s="4">
        <f>( $B$8 + ($B$9-$B$8)*EXP(-$B$3*B240/(4*$B$8)) )^4</f>
        <v/>
      </c>
      <c r="F240" s="4">
        <f>ABS(C240-E240)</f>
        <v/>
      </c>
    </row>
    <row r="241">
      <c r="A241" s="4">
        <f>A240+1</f>
        <v/>
      </c>
      <c r="B241" s="4">
        <f>B240+$B$6</f>
        <v/>
      </c>
      <c r="C241" s="4">
        <f>C240+$B$6*D240</f>
        <v/>
      </c>
      <c r="D241" s="4">
        <f>$B$3*C241^(3/4)*(1-(C241/$B$4)^(1/4))</f>
        <v/>
      </c>
      <c r="E241" s="4">
        <f>( $B$8 + ($B$9-$B$8)*EXP(-$B$3*B241/(4*$B$8)) )^4</f>
        <v/>
      </c>
      <c r="F241" s="4">
        <f>ABS(C241-E241)</f>
        <v/>
      </c>
    </row>
    <row r="242">
      <c r="A242" s="4">
        <f>A241+1</f>
        <v/>
      </c>
      <c r="B242" s="4">
        <f>B241+$B$6</f>
        <v/>
      </c>
      <c r="C242" s="4">
        <f>C241+$B$6*D241</f>
        <v/>
      </c>
      <c r="D242" s="4">
        <f>$B$3*C242^(3/4)*(1-(C242/$B$4)^(1/4))</f>
        <v/>
      </c>
      <c r="E242" s="4">
        <f>( $B$8 + ($B$9-$B$8)*EXP(-$B$3*B242/(4*$B$8)) )^4</f>
        <v/>
      </c>
      <c r="F242" s="4">
        <f>ABS(C242-E242)</f>
        <v/>
      </c>
    </row>
    <row r="243">
      <c r="A243" s="4">
        <f>A242+1</f>
        <v/>
      </c>
      <c r="B243" s="4">
        <f>B242+$B$6</f>
        <v/>
      </c>
      <c r="C243" s="4">
        <f>C242+$B$6*D242</f>
        <v/>
      </c>
      <c r="D243" s="4">
        <f>$B$3*C243^(3/4)*(1-(C243/$B$4)^(1/4))</f>
        <v/>
      </c>
      <c r="E243" s="4">
        <f>( $B$8 + ($B$9-$B$8)*EXP(-$B$3*B243/(4*$B$8)) )^4</f>
        <v/>
      </c>
      <c r="F243" s="4">
        <f>ABS(C243-E243)</f>
        <v/>
      </c>
    </row>
    <row r="244">
      <c r="A244" s="4">
        <f>A243+1</f>
        <v/>
      </c>
      <c r="B244" s="4">
        <f>B243+$B$6</f>
        <v/>
      </c>
      <c r="C244" s="4">
        <f>C243+$B$6*D243</f>
        <v/>
      </c>
      <c r="D244" s="4">
        <f>$B$3*C244^(3/4)*(1-(C244/$B$4)^(1/4))</f>
        <v/>
      </c>
      <c r="E244" s="4">
        <f>( $B$8 + ($B$9-$B$8)*EXP(-$B$3*B244/(4*$B$8)) )^4</f>
        <v/>
      </c>
      <c r="F244" s="4">
        <f>ABS(C244-E244)</f>
        <v/>
      </c>
    </row>
    <row r="245">
      <c r="A245" s="4">
        <f>A244+1</f>
        <v/>
      </c>
      <c r="B245" s="4">
        <f>B244+$B$6</f>
        <v/>
      </c>
      <c r="C245" s="4">
        <f>C244+$B$6*D244</f>
        <v/>
      </c>
      <c r="D245" s="4">
        <f>$B$3*C245^(3/4)*(1-(C245/$B$4)^(1/4))</f>
        <v/>
      </c>
      <c r="E245" s="4">
        <f>( $B$8 + ($B$9-$B$8)*EXP(-$B$3*B245/(4*$B$8)) )^4</f>
        <v/>
      </c>
      <c r="F245" s="4">
        <f>ABS(C245-E245)</f>
        <v/>
      </c>
    </row>
    <row r="246">
      <c r="A246" s="4">
        <f>A245+1</f>
        <v/>
      </c>
      <c r="B246" s="4">
        <f>B245+$B$6</f>
        <v/>
      </c>
      <c r="C246" s="4">
        <f>C245+$B$6*D245</f>
        <v/>
      </c>
      <c r="D246" s="4">
        <f>$B$3*C246^(3/4)*(1-(C246/$B$4)^(1/4))</f>
        <v/>
      </c>
      <c r="E246" s="4">
        <f>( $B$8 + ($B$9-$B$8)*EXP(-$B$3*B246/(4*$B$8)) )^4</f>
        <v/>
      </c>
      <c r="F246" s="4">
        <f>ABS(C246-E246)</f>
        <v/>
      </c>
    </row>
    <row r="247">
      <c r="A247" s="4">
        <f>A246+1</f>
        <v/>
      </c>
      <c r="B247" s="4">
        <f>B246+$B$6</f>
        <v/>
      </c>
      <c r="C247" s="4">
        <f>C246+$B$6*D246</f>
        <v/>
      </c>
      <c r="D247" s="4">
        <f>$B$3*C247^(3/4)*(1-(C247/$B$4)^(1/4))</f>
        <v/>
      </c>
      <c r="E247" s="4">
        <f>( $B$8 + ($B$9-$B$8)*EXP(-$B$3*B247/(4*$B$8)) )^4</f>
        <v/>
      </c>
      <c r="F247" s="4">
        <f>ABS(C247-E247)</f>
        <v/>
      </c>
    </row>
    <row r="248">
      <c r="A248" s="4">
        <f>A247+1</f>
        <v/>
      </c>
      <c r="B248" s="4">
        <f>B247+$B$6</f>
        <v/>
      </c>
      <c r="C248" s="4">
        <f>C247+$B$6*D247</f>
        <v/>
      </c>
      <c r="D248" s="4">
        <f>$B$3*C248^(3/4)*(1-(C248/$B$4)^(1/4))</f>
        <v/>
      </c>
      <c r="E248" s="4">
        <f>( $B$8 + ($B$9-$B$8)*EXP(-$B$3*B248/(4*$B$8)) )^4</f>
        <v/>
      </c>
      <c r="F248" s="4">
        <f>ABS(C248-E248)</f>
        <v/>
      </c>
    </row>
    <row r="249">
      <c r="A249" s="4">
        <f>A248+1</f>
        <v/>
      </c>
      <c r="B249" s="4">
        <f>B248+$B$6</f>
        <v/>
      </c>
      <c r="C249" s="4">
        <f>C248+$B$6*D248</f>
        <v/>
      </c>
      <c r="D249" s="4">
        <f>$B$3*C249^(3/4)*(1-(C249/$B$4)^(1/4))</f>
        <v/>
      </c>
      <c r="E249" s="4">
        <f>( $B$8 + ($B$9-$B$8)*EXP(-$B$3*B249/(4*$B$8)) )^4</f>
        <v/>
      </c>
      <c r="F249" s="4">
        <f>ABS(C249-E249)</f>
        <v/>
      </c>
    </row>
    <row r="250">
      <c r="A250" s="4">
        <f>A249+1</f>
        <v/>
      </c>
      <c r="B250" s="4">
        <f>B249+$B$6</f>
        <v/>
      </c>
      <c r="C250" s="4">
        <f>C249+$B$6*D249</f>
        <v/>
      </c>
      <c r="D250" s="4">
        <f>$B$3*C250^(3/4)*(1-(C250/$B$4)^(1/4))</f>
        <v/>
      </c>
      <c r="E250" s="4">
        <f>( $B$8 + ($B$9-$B$8)*EXP(-$B$3*B250/(4*$B$8)) )^4</f>
        <v/>
      </c>
      <c r="F250" s="4">
        <f>ABS(C250-E250)</f>
        <v/>
      </c>
    </row>
    <row r="251">
      <c r="A251" s="4">
        <f>A250+1</f>
        <v/>
      </c>
      <c r="B251" s="4">
        <f>B250+$B$6</f>
        <v/>
      </c>
      <c r="C251" s="4">
        <f>C250+$B$6*D250</f>
        <v/>
      </c>
      <c r="D251" s="4">
        <f>$B$3*C251^(3/4)*(1-(C251/$B$4)^(1/4))</f>
        <v/>
      </c>
      <c r="E251" s="4">
        <f>( $B$8 + ($B$9-$B$8)*EXP(-$B$3*B251/(4*$B$8)) )^4</f>
        <v/>
      </c>
      <c r="F251" s="4">
        <f>ABS(C251-E251)</f>
        <v/>
      </c>
    </row>
    <row r="252">
      <c r="A252" s="4">
        <f>A251+1</f>
        <v/>
      </c>
      <c r="B252" s="4">
        <f>B251+$B$6</f>
        <v/>
      </c>
      <c r="C252" s="4">
        <f>C251+$B$6*D251</f>
        <v/>
      </c>
      <c r="D252" s="4">
        <f>$B$3*C252^(3/4)*(1-(C252/$B$4)^(1/4))</f>
        <v/>
      </c>
      <c r="E252" s="4">
        <f>( $B$8 + ($B$9-$B$8)*EXP(-$B$3*B252/(4*$B$8)) )^4</f>
        <v/>
      </c>
      <c r="F252" s="4">
        <f>ABS(C252-E252)</f>
        <v/>
      </c>
    </row>
    <row r="253">
      <c r="A253" s="4">
        <f>A252+1</f>
        <v/>
      </c>
      <c r="B253" s="4">
        <f>B252+$B$6</f>
        <v/>
      </c>
      <c r="C253" s="4">
        <f>C252+$B$6*D252</f>
        <v/>
      </c>
      <c r="D253" s="4">
        <f>$B$3*C253^(3/4)*(1-(C253/$B$4)^(1/4))</f>
        <v/>
      </c>
      <c r="E253" s="4">
        <f>( $B$8 + ($B$9-$B$8)*EXP(-$B$3*B253/(4*$B$8)) )^4</f>
        <v/>
      </c>
      <c r="F253" s="4">
        <f>ABS(C253-E253)</f>
        <v/>
      </c>
    </row>
    <row r="254">
      <c r="A254" s="4">
        <f>A253+1</f>
        <v/>
      </c>
      <c r="B254" s="4">
        <f>B253+$B$6</f>
        <v/>
      </c>
      <c r="C254" s="4">
        <f>C253+$B$6*D253</f>
        <v/>
      </c>
      <c r="D254" s="4">
        <f>$B$3*C254^(3/4)*(1-(C254/$B$4)^(1/4))</f>
        <v/>
      </c>
      <c r="E254" s="4">
        <f>( $B$8 + ($B$9-$B$8)*EXP(-$B$3*B254/(4*$B$8)) )^4</f>
        <v/>
      </c>
      <c r="F254" s="4">
        <f>ABS(C254-E254)</f>
        <v/>
      </c>
    </row>
    <row r="255">
      <c r="A255" s="4">
        <f>A254+1</f>
        <v/>
      </c>
      <c r="B255" s="4">
        <f>B254+$B$6</f>
        <v/>
      </c>
      <c r="C255" s="4">
        <f>C254+$B$6*D254</f>
        <v/>
      </c>
      <c r="D255" s="4">
        <f>$B$3*C255^(3/4)*(1-(C255/$B$4)^(1/4))</f>
        <v/>
      </c>
      <c r="E255" s="4">
        <f>( $B$8 + ($B$9-$B$8)*EXP(-$B$3*B255/(4*$B$8)) )^4</f>
        <v/>
      </c>
      <c r="F255" s="4">
        <f>ABS(C255-E255)</f>
        <v/>
      </c>
    </row>
    <row r="256">
      <c r="A256" s="4">
        <f>A255+1</f>
        <v/>
      </c>
      <c r="B256" s="4">
        <f>B255+$B$6</f>
        <v/>
      </c>
      <c r="C256" s="4">
        <f>C255+$B$6*D255</f>
        <v/>
      </c>
      <c r="D256" s="4">
        <f>$B$3*C256^(3/4)*(1-(C256/$B$4)^(1/4))</f>
        <v/>
      </c>
      <c r="E256" s="4">
        <f>( $B$8 + ($B$9-$B$8)*EXP(-$B$3*B256/(4*$B$8)) )^4</f>
        <v/>
      </c>
      <c r="F256" s="4">
        <f>ABS(C256-E256)</f>
        <v/>
      </c>
    </row>
    <row r="257">
      <c r="A257" s="4">
        <f>A256+1</f>
        <v/>
      </c>
      <c r="B257" s="4">
        <f>B256+$B$6</f>
        <v/>
      </c>
      <c r="C257" s="4">
        <f>C256+$B$6*D256</f>
        <v/>
      </c>
      <c r="D257" s="4">
        <f>$B$3*C257^(3/4)*(1-(C257/$B$4)^(1/4))</f>
        <v/>
      </c>
      <c r="E257" s="4">
        <f>( $B$8 + ($B$9-$B$8)*EXP(-$B$3*B257/(4*$B$8)) )^4</f>
        <v/>
      </c>
      <c r="F257" s="4">
        <f>ABS(C257-E257)</f>
        <v/>
      </c>
    </row>
    <row r="258">
      <c r="A258" s="4">
        <f>A257+1</f>
        <v/>
      </c>
      <c r="B258" s="4">
        <f>B257+$B$6</f>
        <v/>
      </c>
      <c r="C258" s="4">
        <f>C257+$B$6*D257</f>
        <v/>
      </c>
      <c r="D258" s="4">
        <f>$B$3*C258^(3/4)*(1-(C258/$B$4)^(1/4))</f>
        <v/>
      </c>
      <c r="E258" s="4">
        <f>( $B$8 + ($B$9-$B$8)*EXP(-$B$3*B258/(4*$B$8)) )^4</f>
        <v/>
      </c>
      <c r="F258" s="4">
        <f>ABS(C258-E258)</f>
        <v/>
      </c>
    </row>
    <row r="259">
      <c r="A259" s="4">
        <f>A258+1</f>
        <v/>
      </c>
      <c r="B259" s="4">
        <f>B258+$B$6</f>
        <v/>
      </c>
      <c r="C259" s="4">
        <f>C258+$B$6*D258</f>
        <v/>
      </c>
      <c r="D259" s="4">
        <f>$B$3*C259^(3/4)*(1-(C259/$B$4)^(1/4))</f>
        <v/>
      </c>
      <c r="E259" s="4">
        <f>( $B$8 + ($B$9-$B$8)*EXP(-$B$3*B259/(4*$B$8)) )^4</f>
        <v/>
      </c>
      <c r="F259" s="4">
        <f>ABS(C259-E259)</f>
        <v/>
      </c>
    </row>
    <row r="260">
      <c r="A260" s="4">
        <f>A259+1</f>
        <v/>
      </c>
      <c r="B260" s="4">
        <f>B259+$B$6</f>
        <v/>
      </c>
      <c r="C260" s="4">
        <f>C259+$B$6*D259</f>
        <v/>
      </c>
      <c r="D260" s="4">
        <f>$B$3*C260^(3/4)*(1-(C260/$B$4)^(1/4))</f>
        <v/>
      </c>
      <c r="E260" s="4">
        <f>( $B$8 + ($B$9-$B$8)*EXP(-$B$3*B260/(4*$B$8)) )^4</f>
        <v/>
      </c>
      <c r="F260" s="4">
        <f>ABS(C260-E260)</f>
        <v/>
      </c>
    </row>
    <row r="261">
      <c r="A261" s="4">
        <f>A260+1</f>
        <v/>
      </c>
      <c r="B261" s="4">
        <f>B260+$B$6</f>
        <v/>
      </c>
      <c r="C261" s="4">
        <f>C260+$B$6*D260</f>
        <v/>
      </c>
      <c r="D261" s="4">
        <f>$B$3*C261^(3/4)*(1-(C261/$B$4)^(1/4))</f>
        <v/>
      </c>
      <c r="E261" s="4">
        <f>( $B$8 + ($B$9-$B$8)*EXP(-$B$3*B261/(4*$B$8)) )^4</f>
        <v/>
      </c>
      <c r="F261" s="4">
        <f>ABS(C261-E261)</f>
        <v/>
      </c>
    </row>
    <row r="262">
      <c r="A262" s="4">
        <f>A261+1</f>
        <v/>
      </c>
      <c r="B262" s="4">
        <f>B261+$B$6</f>
        <v/>
      </c>
      <c r="C262" s="4">
        <f>C261+$B$6*D261</f>
        <v/>
      </c>
      <c r="D262" s="4">
        <f>$B$3*C262^(3/4)*(1-(C262/$B$4)^(1/4))</f>
        <v/>
      </c>
      <c r="E262" s="4">
        <f>( $B$8 + ($B$9-$B$8)*EXP(-$B$3*B262/(4*$B$8)) )^4</f>
        <v/>
      </c>
      <c r="F262" s="4">
        <f>ABS(C262-E262)</f>
        <v/>
      </c>
    </row>
    <row r="263">
      <c r="A263" s="4">
        <f>A262+1</f>
        <v/>
      </c>
      <c r="B263" s="4">
        <f>B262+$B$6</f>
        <v/>
      </c>
      <c r="C263" s="4">
        <f>C262+$B$6*D262</f>
        <v/>
      </c>
      <c r="D263" s="4">
        <f>$B$3*C263^(3/4)*(1-(C263/$B$4)^(1/4))</f>
        <v/>
      </c>
      <c r="E263" s="4">
        <f>( $B$8 + ($B$9-$B$8)*EXP(-$B$3*B263/(4*$B$8)) )^4</f>
        <v/>
      </c>
      <c r="F263" s="4">
        <f>ABS(C263-E263)</f>
        <v/>
      </c>
    </row>
    <row r="264">
      <c r="A264" s="4">
        <f>A263+1</f>
        <v/>
      </c>
      <c r="B264" s="4">
        <f>B263+$B$6</f>
        <v/>
      </c>
      <c r="C264" s="4">
        <f>C263+$B$6*D263</f>
        <v/>
      </c>
      <c r="D264" s="4">
        <f>$B$3*C264^(3/4)*(1-(C264/$B$4)^(1/4))</f>
        <v/>
      </c>
      <c r="E264" s="4">
        <f>( $B$8 + ($B$9-$B$8)*EXP(-$B$3*B264/(4*$B$8)) )^4</f>
        <v/>
      </c>
      <c r="F264" s="4">
        <f>ABS(C264-E264)</f>
        <v/>
      </c>
    </row>
    <row r="265">
      <c r="A265" s="4">
        <f>A264+1</f>
        <v/>
      </c>
      <c r="B265" s="4">
        <f>B264+$B$6</f>
        <v/>
      </c>
      <c r="C265" s="4">
        <f>C264+$B$6*D264</f>
        <v/>
      </c>
      <c r="D265" s="4">
        <f>$B$3*C265^(3/4)*(1-(C265/$B$4)^(1/4))</f>
        <v/>
      </c>
      <c r="E265" s="4">
        <f>( $B$8 + ($B$9-$B$8)*EXP(-$B$3*B265/(4*$B$8)) )^4</f>
        <v/>
      </c>
      <c r="F265" s="4">
        <f>ABS(C265-E265)</f>
        <v/>
      </c>
    </row>
    <row r="266">
      <c r="A266" s="4">
        <f>A265+1</f>
        <v/>
      </c>
      <c r="B266" s="4">
        <f>B265+$B$6</f>
        <v/>
      </c>
      <c r="C266" s="4">
        <f>C265+$B$6*D265</f>
        <v/>
      </c>
      <c r="D266" s="4">
        <f>$B$3*C266^(3/4)*(1-(C266/$B$4)^(1/4))</f>
        <v/>
      </c>
      <c r="E266" s="4">
        <f>( $B$8 + ($B$9-$B$8)*EXP(-$B$3*B266/(4*$B$8)) )^4</f>
        <v/>
      </c>
      <c r="F266" s="4">
        <f>ABS(C266-E266)</f>
        <v/>
      </c>
    </row>
    <row r="267">
      <c r="A267" s="4">
        <f>A266+1</f>
        <v/>
      </c>
      <c r="B267" s="4">
        <f>B266+$B$6</f>
        <v/>
      </c>
      <c r="C267" s="4">
        <f>C266+$B$6*D266</f>
        <v/>
      </c>
      <c r="D267" s="4">
        <f>$B$3*C267^(3/4)*(1-(C267/$B$4)^(1/4))</f>
        <v/>
      </c>
      <c r="E267" s="4">
        <f>( $B$8 + ($B$9-$B$8)*EXP(-$B$3*B267/(4*$B$8)) )^4</f>
        <v/>
      </c>
      <c r="F267" s="4">
        <f>ABS(C267-E267)</f>
        <v/>
      </c>
    </row>
    <row r="268">
      <c r="A268" s="4">
        <f>A267+1</f>
        <v/>
      </c>
      <c r="B268" s="4">
        <f>B267+$B$6</f>
        <v/>
      </c>
      <c r="C268" s="4">
        <f>C267+$B$6*D267</f>
        <v/>
      </c>
      <c r="D268" s="4">
        <f>$B$3*C268^(3/4)*(1-(C268/$B$4)^(1/4))</f>
        <v/>
      </c>
      <c r="E268" s="4">
        <f>( $B$8 + ($B$9-$B$8)*EXP(-$B$3*B268/(4*$B$8)) )^4</f>
        <v/>
      </c>
      <c r="F268" s="4">
        <f>ABS(C268-E268)</f>
        <v/>
      </c>
    </row>
    <row r="269">
      <c r="A269" s="4">
        <f>A268+1</f>
        <v/>
      </c>
      <c r="B269" s="4">
        <f>B268+$B$6</f>
        <v/>
      </c>
      <c r="C269" s="4">
        <f>C268+$B$6*D268</f>
        <v/>
      </c>
      <c r="D269" s="4">
        <f>$B$3*C269^(3/4)*(1-(C269/$B$4)^(1/4))</f>
        <v/>
      </c>
      <c r="E269" s="4">
        <f>( $B$8 + ($B$9-$B$8)*EXP(-$B$3*B269/(4*$B$8)) )^4</f>
        <v/>
      </c>
      <c r="F269" s="4">
        <f>ABS(C269-E269)</f>
        <v/>
      </c>
    </row>
    <row r="270">
      <c r="A270" s="4">
        <f>A269+1</f>
        <v/>
      </c>
      <c r="B270" s="4">
        <f>B269+$B$6</f>
        <v/>
      </c>
      <c r="C270" s="4">
        <f>C269+$B$6*D269</f>
        <v/>
      </c>
      <c r="D270" s="4">
        <f>$B$3*C270^(3/4)*(1-(C270/$B$4)^(1/4))</f>
        <v/>
      </c>
      <c r="E270" s="4">
        <f>( $B$8 + ($B$9-$B$8)*EXP(-$B$3*B270/(4*$B$8)) )^4</f>
        <v/>
      </c>
      <c r="F270" s="4">
        <f>ABS(C270-E270)</f>
        <v/>
      </c>
    </row>
    <row r="271">
      <c r="A271" s="4">
        <f>A270+1</f>
        <v/>
      </c>
      <c r="B271" s="4">
        <f>B270+$B$6</f>
        <v/>
      </c>
      <c r="C271" s="4">
        <f>C270+$B$6*D270</f>
        <v/>
      </c>
      <c r="D271" s="4">
        <f>$B$3*C271^(3/4)*(1-(C271/$B$4)^(1/4))</f>
        <v/>
      </c>
      <c r="E271" s="4">
        <f>( $B$8 + ($B$9-$B$8)*EXP(-$B$3*B271/(4*$B$8)) )^4</f>
        <v/>
      </c>
      <c r="F271" s="4">
        <f>ABS(C271-E271)</f>
        <v/>
      </c>
    </row>
    <row r="272">
      <c r="A272" s="4">
        <f>A271+1</f>
        <v/>
      </c>
      <c r="B272" s="4">
        <f>B271+$B$6</f>
        <v/>
      </c>
      <c r="C272" s="4">
        <f>C271+$B$6*D271</f>
        <v/>
      </c>
      <c r="D272" s="4">
        <f>$B$3*C272^(3/4)*(1-(C272/$B$4)^(1/4))</f>
        <v/>
      </c>
      <c r="E272" s="4">
        <f>( $B$8 + ($B$9-$B$8)*EXP(-$B$3*B272/(4*$B$8)) )^4</f>
        <v/>
      </c>
      <c r="F272" s="4">
        <f>ABS(C272-E272)</f>
        <v/>
      </c>
    </row>
    <row r="273">
      <c r="A273" s="4">
        <f>A272+1</f>
        <v/>
      </c>
      <c r="B273" s="4">
        <f>B272+$B$6</f>
        <v/>
      </c>
      <c r="C273" s="4">
        <f>C272+$B$6*D272</f>
        <v/>
      </c>
      <c r="D273" s="4">
        <f>$B$3*C273^(3/4)*(1-(C273/$B$4)^(1/4))</f>
        <v/>
      </c>
      <c r="E273" s="4">
        <f>( $B$8 + ($B$9-$B$8)*EXP(-$B$3*B273/(4*$B$8)) )^4</f>
        <v/>
      </c>
      <c r="F273" s="4">
        <f>ABS(C273-E273)</f>
        <v/>
      </c>
    </row>
    <row r="274">
      <c r="A274" s="4">
        <f>A273+1</f>
        <v/>
      </c>
      <c r="B274" s="4">
        <f>B273+$B$6</f>
        <v/>
      </c>
      <c r="C274" s="4">
        <f>C273+$B$6*D273</f>
        <v/>
      </c>
      <c r="D274" s="4">
        <f>$B$3*C274^(3/4)*(1-(C274/$B$4)^(1/4))</f>
        <v/>
      </c>
      <c r="E274" s="4">
        <f>( $B$8 + ($B$9-$B$8)*EXP(-$B$3*B274/(4*$B$8)) )^4</f>
        <v/>
      </c>
      <c r="F274" s="4">
        <f>ABS(C274-E274)</f>
        <v/>
      </c>
    </row>
    <row r="275">
      <c r="A275" s="4">
        <f>A274+1</f>
        <v/>
      </c>
      <c r="B275" s="4">
        <f>B274+$B$6</f>
        <v/>
      </c>
      <c r="C275" s="4">
        <f>C274+$B$6*D274</f>
        <v/>
      </c>
      <c r="D275" s="4">
        <f>$B$3*C275^(3/4)*(1-(C275/$B$4)^(1/4))</f>
        <v/>
      </c>
      <c r="E275" s="4">
        <f>( $B$8 + ($B$9-$B$8)*EXP(-$B$3*B275/(4*$B$8)) )^4</f>
        <v/>
      </c>
      <c r="F275" s="4">
        <f>ABS(C275-E275)</f>
        <v/>
      </c>
    </row>
    <row r="276">
      <c r="A276" s="4">
        <f>A275+1</f>
        <v/>
      </c>
      <c r="B276" s="4">
        <f>B275+$B$6</f>
        <v/>
      </c>
      <c r="C276" s="4">
        <f>C275+$B$6*D275</f>
        <v/>
      </c>
      <c r="D276" s="4">
        <f>$B$3*C276^(3/4)*(1-(C276/$B$4)^(1/4))</f>
        <v/>
      </c>
      <c r="E276" s="4">
        <f>( $B$8 + ($B$9-$B$8)*EXP(-$B$3*B276/(4*$B$8)) )^4</f>
        <v/>
      </c>
      <c r="F276" s="4">
        <f>ABS(C276-E276)</f>
        <v/>
      </c>
    </row>
    <row r="277">
      <c r="A277" s="4">
        <f>A276+1</f>
        <v/>
      </c>
      <c r="B277" s="4">
        <f>B276+$B$6</f>
        <v/>
      </c>
      <c r="C277" s="4">
        <f>C276+$B$6*D276</f>
        <v/>
      </c>
      <c r="D277" s="4">
        <f>$B$3*C277^(3/4)*(1-(C277/$B$4)^(1/4))</f>
        <v/>
      </c>
      <c r="E277" s="4">
        <f>( $B$8 + ($B$9-$B$8)*EXP(-$B$3*B277/(4*$B$8)) )^4</f>
        <v/>
      </c>
      <c r="F277" s="4">
        <f>ABS(C277-E277)</f>
        <v/>
      </c>
    </row>
    <row r="278">
      <c r="A278" s="4">
        <f>A277+1</f>
        <v/>
      </c>
      <c r="B278" s="4">
        <f>B277+$B$6</f>
        <v/>
      </c>
      <c r="C278" s="4">
        <f>C277+$B$6*D277</f>
        <v/>
      </c>
      <c r="D278" s="4">
        <f>$B$3*C278^(3/4)*(1-(C278/$B$4)^(1/4))</f>
        <v/>
      </c>
      <c r="E278" s="4">
        <f>( $B$8 + ($B$9-$B$8)*EXP(-$B$3*B278/(4*$B$8)) )^4</f>
        <v/>
      </c>
      <c r="F278" s="4">
        <f>ABS(C278-E278)</f>
        <v/>
      </c>
    </row>
    <row r="279">
      <c r="A279" s="4">
        <f>A278+1</f>
        <v/>
      </c>
      <c r="B279" s="4">
        <f>B278+$B$6</f>
        <v/>
      </c>
      <c r="C279" s="4">
        <f>C278+$B$6*D278</f>
        <v/>
      </c>
      <c r="D279" s="4">
        <f>$B$3*C279^(3/4)*(1-(C279/$B$4)^(1/4))</f>
        <v/>
      </c>
      <c r="E279" s="4">
        <f>( $B$8 + ($B$9-$B$8)*EXP(-$B$3*B279/(4*$B$8)) )^4</f>
        <v/>
      </c>
      <c r="F279" s="4">
        <f>ABS(C279-E279)</f>
        <v/>
      </c>
    </row>
    <row r="280">
      <c r="A280" s="4">
        <f>A279+1</f>
        <v/>
      </c>
      <c r="B280" s="4">
        <f>B279+$B$6</f>
        <v/>
      </c>
      <c r="C280" s="4">
        <f>C279+$B$6*D279</f>
        <v/>
      </c>
      <c r="D280" s="4">
        <f>$B$3*C280^(3/4)*(1-(C280/$B$4)^(1/4))</f>
        <v/>
      </c>
      <c r="E280" s="4">
        <f>( $B$8 + ($B$9-$B$8)*EXP(-$B$3*B280/(4*$B$8)) )^4</f>
        <v/>
      </c>
      <c r="F280" s="4">
        <f>ABS(C280-E280)</f>
        <v/>
      </c>
    </row>
    <row r="281">
      <c r="A281" s="4">
        <f>A280+1</f>
        <v/>
      </c>
      <c r="B281" s="4">
        <f>B280+$B$6</f>
        <v/>
      </c>
      <c r="C281" s="4">
        <f>C280+$B$6*D280</f>
        <v/>
      </c>
      <c r="D281" s="4">
        <f>$B$3*C281^(3/4)*(1-(C281/$B$4)^(1/4))</f>
        <v/>
      </c>
      <c r="E281" s="4">
        <f>( $B$8 + ($B$9-$B$8)*EXP(-$B$3*B281/(4*$B$8)) )^4</f>
        <v/>
      </c>
      <c r="F281" s="4">
        <f>ABS(C281-E281)</f>
        <v/>
      </c>
    </row>
    <row r="282">
      <c r="A282" s="4">
        <f>A281+1</f>
        <v/>
      </c>
      <c r="B282" s="4">
        <f>B281+$B$6</f>
        <v/>
      </c>
      <c r="C282" s="4">
        <f>C281+$B$6*D281</f>
        <v/>
      </c>
      <c r="D282" s="4">
        <f>$B$3*C282^(3/4)*(1-(C282/$B$4)^(1/4))</f>
        <v/>
      </c>
      <c r="E282" s="4">
        <f>( $B$8 + ($B$9-$B$8)*EXP(-$B$3*B282/(4*$B$8)) )^4</f>
        <v/>
      </c>
      <c r="F282" s="4">
        <f>ABS(C282-E282)</f>
        <v/>
      </c>
    </row>
    <row r="283">
      <c r="A283" s="4">
        <f>A282+1</f>
        <v/>
      </c>
      <c r="B283" s="4">
        <f>B282+$B$6</f>
        <v/>
      </c>
      <c r="C283" s="4">
        <f>C282+$B$6*D282</f>
        <v/>
      </c>
      <c r="D283" s="4">
        <f>$B$3*C283^(3/4)*(1-(C283/$B$4)^(1/4))</f>
        <v/>
      </c>
      <c r="E283" s="4">
        <f>( $B$8 + ($B$9-$B$8)*EXP(-$B$3*B283/(4*$B$8)) )^4</f>
        <v/>
      </c>
      <c r="F283" s="4">
        <f>ABS(C283-E283)</f>
        <v/>
      </c>
    </row>
    <row r="284">
      <c r="A284" s="4">
        <f>A283+1</f>
        <v/>
      </c>
      <c r="B284" s="4">
        <f>B283+$B$6</f>
        <v/>
      </c>
      <c r="C284" s="4">
        <f>C283+$B$6*D283</f>
        <v/>
      </c>
      <c r="D284" s="4">
        <f>$B$3*C284^(3/4)*(1-(C284/$B$4)^(1/4))</f>
        <v/>
      </c>
      <c r="E284" s="4">
        <f>( $B$8 + ($B$9-$B$8)*EXP(-$B$3*B284/(4*$B$8)) )^4</f>
        <v/>
      </c>
      <c r="F284" s="4">
        <f>ABS(C284-E284)</f>
        <v/>
      </c>
    </row>
    <row r="285">
      <c r="A285" s="4">
        <f>A284+1</f>
        <v/>
      </c>
      <c r="B285" s="4">
        <f>B284+$B$6</f>
        <v/>
      </c>
      <c r="C285" s="4">
        <f>C284+$B$6*D284</f>
        <v/>
      </c>
      <c r="D285" s="4">
        <f>$B$3*C285^(3/4)*(1-(C285/$B$4)^(1/4))</f>
        <v/>
      </c>
      <c r="E285" s="4">
        <f>( $B$8 + ($B$9-$B$8)*EXP(-$B$3*B285/(4*$B$8)) )^4</f>
        <v/>
      </c>
      <c r="F285" s="4">
        <f>ABS(C285-E285)</f>
        <v/>
      </c>
    </row>
    <row r="286">
      <c r="A286" s="4">
        <f>A285+1</f>
        <v/>
      </c>
      <c r="B286" s="4">
        <f>B285+$B$6</f>
        <v/>
      </c>
      <c r="C286" s="4">
        <f>C285+$B$6*D285</f>
        <v/>
      </c>
      <c r="D286" s="4">
        <f>$B$3*C286^(3/4)*(1-(C286/$B$4)^(1/4))</f>
        <v/>
      </c>
      <c r="E286" s="4">
        <f>( $B$8 + ($B$9-$B$8)*EXP(-$B$3*B286/(4*$B$8)) )^4</f>
        <v/>
      </c>
      <c r="F286" s="4">
        <f>ABS(C286-E286)</f>
        <v/>
      </c>
    </row>
    <row r="287">
      <c r="A287" s="4">
        <f>A286+1</f>
        <v/>
      </c>
      <c r="B287" s="4">
        <f>B286+$B$6</f>
        <v/>
      </c>
      <c r="C287" s="4">
        <f>C286+$B$6*D286</f>
        <v/>
      </c>
      <c r="D287" s="4">
        <f>$B$3*C287^(3/4)*(1-(C287/$B$4)^(1/4))</f>
        <v/>
      </c>
      <c r="E287" s="4">
        <f>( $B$8 + ($B$9-$B$8)*EXP(-$B$3*B287/(4*$B$8)) )^4</f>
        <v/>
      </c>
      <c r="F287" s="4">
        <f>ABS(C287-E287)</f>
        <v/>
      </c>
    </row>
    <row r="288">
      <c r="A288" s="4">
        <f>A287+1</f>
        <v/>
      </c>
      <c r="B288" s="4">
        <f>B287+$B$6</f>
        <v/>
      </c>
      <c r="C288" s="4">
        <f>C287+$B$6*D287</f>
        <v/>
      </c>
      <c r="D288" s="4">
        <f>$B$3*C288^(3/4)*(1-(C288/$B$4)^(1/4))</f>
        <v/>
      </c>
      <c r="E288" s="4">
        <f>( $B$8 + ($B$9-$B$8)*EXP(-$B$3*B288/(4*$B$8)) )^4</f>
        <v/>
      </c>
      <c r="F288" s="4">
        <f>ABS(C288-E288)</f>
        <v/>
      </c>
    </row>
    <row r="289">
      <c r="A289" s="4">
        <f>A288+1</f>
        <v/>
      </c>
      <c r="B289" s="4">
        <f>B288+$B$6</f>
        <v/>
      </c>
      <c r="C289" s="4">
        <f>C288+$B$6*D288</f>
        <v/>
      </c>
      <c r="D289" s="4">
        <f>$B$3*C289^(3/4)*(1-(C289/$B$4)^(1/4))</f>
        <v/>
      </c>
      <c r="E289" s="4">
        <f>( $B$8 + ($B$9-$B$8)*EXP(-$B$3*B289/(4*$B$8)) )^4</f>
        <v/>
      </c>
      <c r="F289" s="4">
        <f>ABS(C289-E289)</f>
        <v/>
      </c>
    </row>
    <row r="290">
      <c r="A290" s="4">
        <f>A289+1</f>
        <v/>
      </c>
      <c r="B290" s="4">
        <f>B289+$B$6</f>
        <v/>
      </c>
      <c r="C290" s="4">
        <f>C289+$B$6*D289</f>
        <v/>
      </c>
      <c r="D290" s="4">
        <f>$B$3*C290^(3/4)*(1-(C290/$B$4)^(1/4))</f>
        <v/>
      </c>
      <c r="E290" s="4">
        <f>( $B$8 + ($B$9-$B$8)*EXP(-$B$3*B290/(4*$B$8)) )^4</f>
        <v/>
      </c>
      <c r="F290" s="4">
        <f>ABS(C290-E290)</f>
        <v/>
      </c>
    </row>
    <row r="291">
      <c r="A291" s="4">
        <f>A290+1</f>
        <v/>
      </c>
      <c r="B291" s="4">
        <f>B290+$B$6</f>
        <v/>
      </c>
      <c r="C291" s="4">
        <f>C290+$B$6*D290</f>
        <v/>
      </c>
      <c r="D291" s="4">
        <f>$B$3*C291^(3/4)*(1-(C291/$B$4)^(1/4))</f>
        <v/>
      </c>
      <c r="E291" s="4">
        <f>( $B$8 + ($B$9-$B$8)*EXP(-$B$3*B291/(4*$B$8)) )^4</f>
        <v/>
      </c>
      <c r="F291" s="4">
        <f>ABS(C291-E291)</f>
        <v/>
      </c>
    </row>
    <row r="292">
      <c r="A292" s="4">
        <f>A291+1</f>
        <v/>
      </c>
      <c r="B292" s="4">
        <f>B291+$B$6</f>
        <v/>
      </c>
      <c r="C292" s="4">
        <f>C291+$B$6*D291</f>
        <v/>
      </c>
      <c r="D292" s="4">
        <f>$B$3*C292^(3/4)*(1-(C292/$B$4)^(1/4))</f>
        <v/>
      </c>
      <c r="E292" s="4">
        <f>( $B$8 + ($B$9-$B$8)*EXP(-$B$3*B292/(4*$B$8)) )^4</f>
        <v/>
      </c>
      <c r="F292" s="4">
        <f>ABS(C292-E292)</f>
        <v/>
      </c>
    </row>
    <row r="293">
      <c r="A293" s="4">
        <f>A292+1</f>
        <v/>
      </c>
      <c r="B293" s="4">
        <f>B292+$B$6</f>
        <v/>
      </c>
      <c r="C293" s="4">
        <f>C292+$B$6*D292</f>
        <v/>
      </c>
      <c r="D293" s="4">
        <f>$B$3*C293^(3/4)*(1-(C293/$B$4)^(1/4))</f>
        <v/>
      </c>
      <c r="E293" s="4">
        <f>( $B$8 + ($B$9-$B$8)*EXP(-$B$3*B293/(4*$B$8)) )^4</f>
        <v/>
      </c>
      <c r="F293" s="4">
        <f>ABS(C293-E293)</f>
        <v/>
      </c>
    </row>
    <row r="294">
      <c r="A294" s="4">
        <f>A293+1</f>
        <v/>
      </c>
      <c r="B294" s="4">
        <f>B293+$B$6</f>
        <v/>
      </c>
      <c r="C294" s="4">
        <f>C293+$B$6*D293</f>
        <v/>
      </c>
      <c r="D294" s="4">
        <f>$B$3*C294^(3/4)*(1-(C294/$B$4)^(1/4))</f>
        <v/>
      </c>
      <c r="E294" s="4">
        <f>( $B$8 + ($B$9-$B$8)*EXP(-$B$3*B294/(4*$B$8)) )^4</f>
        <v/>
      </c>
      <c r="F294" s="4">
        <f>ABS(C294-E294)</f>
        <v/>
      </c>
    </row>
    <row r="295">
      <c r="A295" s="4">
        <f>A294+1</f>
        <v/>
      </c>
      <c r="B295" s="4">
        <f>B294+$B$6</f>
        <v/>
      </c>
      <c r="C295" s="4">
        <f>C294+$B$6*D294</f>
        <v/>
      </c>
      <c r="D295" s="4">
        <f>$B$3*C295^(3/4)*(1-(C295/$B$4)^(1/4))</f>
        <v/>
      </c>
      <c r="E295" s="4">
        <f>( $B$8 + ($B$9-$B$8)*EXP(-$B$3*B295/(4*$B$8)) )^4</f>
        <v/>
      </c>
      <c r="F295" s="4">
        <f>ABS(C295-E295)</f>
        <v/>
      </c>
    </row>
    <row r="296">
      <c r="A296" s="4">
        <f>A295+1</f>
        <v/>
      </c>
      <c r="B296" s="4">
        <f>B295+$B$6</f>
        <v/>
      </c>
      <c r="C296" s="4">
        <f>C295+$B$6*D295</f>
        <v/>
      </c>
      <c r="D296" s="4">
        <f>$B$3*C296^(3/4)*(1-(C296/$B$4)^(1/4))</f>
        <v/>
      </c>
      <c r="E296" s="4">
        <f>( $B$8 + ($B$9-$B$8)*EXP(-$B$3*B296/(4*$B$8)) )^4</f>
        <v/>
      </c>
      <c r="F296" s="4">
        <f>ABS(C296-E296)</f>
        <v/>
      </c>
    </row>
    <row r="297">
      <c r="A297" s="4">
        <f>A296+1</f>
        <v/>
      </c>
      <c r="B297" s="4">
        <f>B296+$B$6</f>
        <v/>
      </c>
      <c r="C297" s="4">
        <f>C296+$B$6*D296</f>
        <v/>
      </c>
      <c r="D297" s="4">
        <f>$B$3*C297^(3/4)*(1-(C297/$B$4)^(1/4))</f>
        <v/>
      </c>
      <c r="E297" s="4">
        <f>( $B$8 + ($B$9-$B$8)*EXP(-$B$3*B297/(4*$B$8)) )^4</f>
        <v/>
      </c>
      <c r="F297" s="4">
        <f>ABS(C297-E297)</f>
        <v/>
      </c>
    </row>
    <row r="298">
      <c r="A298" s="4">
        <f>A297+1</f>
        <v/>
      </c>
      <c r="B298" s="4">
        <f>B297+$B$6</f>
        <v/>
      </c>
      <c r="C298" s="4">
        <f>C297+$B$6*D297</f>
        <v/>
      </c>
      <c r="D298" s="4">
        <f>$B$3*C298^(3/4)*(1-(C298/$B$4)^(1/4))</f>
        <v/>
      </c>
      <c r="E298" s="4">
        <f>( $B$8 + ($B$9-$B$8)*EXP(-$B$3*B298/(4*$B$8)) )^4</f>
        <v/>
      </c>
      <c r="F298" s="4">
        <f>ABS(C298-E298)</f>
        <v/>
      </c>
    </row>
    <row r="299">
      <c r="A299" s="4">
        <f>A298+1</f>
        <v/>
      </c>
      <c r="B299" s="4">
        <f>B298+$B$6</f>
        <v/>
      </c>
      <c r="C299" s="4">
        <f>C298+$B$6*D298</f>
        <v/>
      </c>
      <c r="D299" s="4">
        <f>$B$3*C299^(3/4)*(1-(C299/$B$4)^(1/4))</f>
        <v/>
      </c>
      <c r="E299" s="4">
        <f>( $B$8 + ($B$9-$B$8)*EXP(-$B$3*B299/(4*$B$8)) )^4</f>
        <v/>
      </c>
      <c r="F299" s="4">
        <f>ABS(C299-E299)</f>
        <v/>
      </c>
    </row>
    <row r="300">
      <c r="A300" s="4">
        <f>A299+1</f>
        <v/>
      </c>
      <c r="B300" s="4">
        <f>B299+$B$6</f>
        <v/>
      </c>
      <c r="C300" s="4">
        <f>C299+$B$6*D299</f>
        <v/>
      </c>
      <c r="D300" s="4">
        <f>$B$3*C300^(3/4)*(1-(C300/$B$4)^(1/4))</f>
        <v/>
      </c>
      <c r="E300" s="4">
        <f>( $B$8 + ($B$9-$B$8)*EXP(-$B$3*B300/(4*$B$8)) )^4</f>
        <v/>
      </c>
      <c r="F300" s="4">
        <f>ABS(C300-E300)</f>
        <v/>
      </c>
    </row>
    <row r="301">
      <c r="A301" s="4">
        <f>A300+1</f>
        <v/>
      </c>
      <c r="B301" s="4">
        <f>B300+$B$6</f>
        <v/>
      </c>
      <c r="C301" s="4">
        <f>C300+$B$6*D300</f>
        <v/>
      </c>
      <c r="D301" s="4">
        <f>$B$3*C301^(3/4)*(1-(C301/$B$4)^(1/4))</f>
        <v/>
      </c>
      <c r="E301" s="4">
        <f>( $B$8 + ($B$9-$B$8)*EXP(-$B$3*B301/(4*$B$8)) )^4</f>
        <v/>
      </c>
      <c r="F301" s="4">
        <f>ABS(C301-E301)</f>
        <v/>
      </c>
    </row>
    <row r="302">
      <c r="A302" s="4">
        <f>A301+1</f>
        <v/>
      </c>
      <c r="B302" s="4">
        <f>B301+$B$6</f>
        <v/>
      </c>
      <c r="C302" s="4">
        <f>C301+$B$6*D301</f>
        <v/>
      </c>
      <c r="D302" s="4">
        <f>$B$3*C302^(3/4)*(1-(C302/$B$4)^(1/4))</f>
        <v/>
      </c>
      <c r="E302" s="4">
        <f>( $B$8 + ($B$9-$B$8)*EXP(-$B$3*B302/(4*$B$8)) )^4</f>
        <v/>
      </c>
      <c r="F302" s="4">
        <f>ABS(C302-E302)</f>
        <v/>
      </c>
    </row>
    <row r="303">
      <c r="A303" s="4">
        <f>A302+1</f>
        <v/>
      </c>
      <c r="B303" s="4">
        <f>B302+$B$6</f>
        <v/>
      </c>
      <c r="C303" s="4">
        <f>C302+$B$6*D302</f>
        <v/>
      </c>
      <c r="D303" s="4">
        <f>$B$3*C303^(3/4)*(1-(C303/$B$4)^(1/4))</f>
        <v/>
      </c>
      <c r="E303" s="4">
        <f>( $B$8 + ($B$9-$B$8)*EXP(-$B$3*B303/(4*$B$8)) )^4</f>
        <v/>
      </c>
      <c r="F303" s="4">
        <f>ABS(C303-E303)</f>
        <v/>
      </c>
    </row>
    <row r="304">
      <c r="A304" s="4">
        <f>A303+1</f>
        <v/>
      </c>
      <c r="B304" s="4">
        <f>B303+$B$6</f>
        <v/>
      </c>
      <c r="C304" s="4">
        <f>C303+$B$6*D303</f>
        <v/>
      </c>
      <c r="D304" s="4">
        <f>$B$3*C304^(3/4)*(1-(C304/$B$4)^(1/4))</f>
        <v/>
      </c>
      <c r="E304" s="4">
        <f>( $B$8 + ($B$9-$B$8)*EXP(-$B$3*B304/(4*$B$8)) )^4</f>
        <v/>
      </c>
      <c r="F304" s="4">
        <f>ABS(C304-E304)</f>
        <v/>
      </c>
    </row>
    <row r="305">
      <c r="A305" s="4">
        <f>A304+1</f>
        <v/>
      </c>
      <c r="B305" s="4">
        <f>B304+$B$6</f>
        <v/>
      </c>
      <c r="C305" s="4">
        <f>C304+$B$6*D304</f>
        <v/>
      </c>
      <c r="D305" s="4">
        <f>$B$3*C305^(3/4)*(1-(C305/$B$4)^(1/4))</f>
        <v/>
      </c>
      <c r="E305" s="4">
        <f>( $B$8 + ($B$9-$B$8)*EXP(-$B$3*B305/(4*$B$8)) )^4</f>
        <v/>
      </c>
      <c r="F305" s="4">
        <f>ABS(C305-E305)</f>
        <v/>
      </c>
    </row>
    <row r="306">
      <c r="A306" s="4">
        <f>A305+1</f>
        <v/>
      </c>
      <c r="B306" s="4">
        <f>B305+$B$6</f>
        <v/>
      </c>
      <c r="C306" s="4">
        <f>C305+$B$6*D305</f>
        <v/>
      </c>
      <c r="D306" s="4">
        <f>$B$3*C306^(3/4)*(1-(C306/$B$4)^(1/4))</f>
        <v/>
      </c>
      <c r="E306" s="4">
        <f>( $B$8 + ($B$9-$B$8)*EXP(-$B$3*B306/(4*$B$8)) )^4</f>
        <v/>
      </c>
      <c r="F306" s="4">
        <f>ABS(C306-E306)</f>
        <v/>
      </c>
    </row>
    <row r="307">
      <c r="A307" s="4">
        <f>A306+1</f>
        <v/>
      </c>
      <c r="B307" s="4">
        <f>B306+$B$6</f>
        <v/>
      </c>
      <c r="C307" s="4">
        <f>C306+$B$6*D306</f>
        <v/>
      </c>
      <c r="D307" s="4">
        <f>$B$3*C307^(3/4)*(1-(C307/$B$4)^(1/4))</f>
        <v/>
      </c>
      <c r="E307" s="4">
        <f>( $B$8 + ($B$9-$B$8)*EXP(-$B$3*B307/(4*$B$8)) )^4</f>
        <v/>
      </c>
      <c r="F307" s="4">
        <f>ABS(C307-E307)</f>
        <v/>
      </c>
    </row>
    <row r="308">
      <c r="A308" s="4">
        <f>A307+1</f>
        <v/>
      </c>
      <c r="B308" s="4">
        <f>B307+$B$6</f>
        <v/>
      </c>
      <c r="C308" s="4">
        <f>C307+$B$6*D307</f>
        <v/>
      </c>
      <c r="D308" s="4">
        <f>$B$3*C308^(3/4)*(1-(C308/$B$4)^(1/4))</f>
        <v/>
      </c>
      <c r="E308" s="4">
        <f>( $B$8 + ($B$9-$B$8)*EXP(-$B$3*B308/(4*$B$8)) )^4</f>
        <v/>
      </c>
      <c r="F308" s="4">
        <f>ABS(C308-E308)</f>
        <v/>
      </c>
    </row>
    <row r="309">
      <c r="A309" s="4">
        <f>A308+1</f>
        <v/>
      </c>
      <c r="B309" s="4">
        <f>B308+$B$6</f>
        <v/>
      </c>
      <c r="C309" s="4">
        <f>C308+$B$6*D308</f>
        <v/>
      </c>
      <c r="D309" s="4">
        <f>$B$3*C309^(3/4)*(1-(C309/$B$4)^(1/4))</f>
        <v/>
      </c>
      <c r="E309" s="4">
        <f>( $B$8 + ($B$9-$B$8)*EXP(-$B$3*B309/(4*$B$8)) )^4</f>
        <v/>
      </c>
      <c r="F309" s="4">
        <f>ABS(C309-E309)</f>
        <v/>
      </c>
    </row>
    <row r="310">
      <c r="A310" s="4">
        <f>A309+1</f>
        <v/>
      </c>
      <c r="B310" s="4">
        <f>B309+$B$6</f>
        <v/>
      </c>
      <c r="C310" s="4">
        <f>C309+$B$6*D309</f>
        <v/>
      </c>
      <c r="D310" s="4">
        <f>$B$3*C310^(3/4)*(1-(C310/$B$4)^(1/4))</f>
        <v/>
      </c>
      <c r="E310" s="4">
        <f>( $B$8 + ($B$9-$B$8)*EXP(-$B$3*B310/(4*$B$8)) )^4</f>
        <v/>
      </c>
      <c r="F310" s="4">
        <f>ABS(C310-E310)</f>
        <v/>
      </c>
    </row>
    <row r="311">
      <c r="A311" s="4">
        <f>A310+1</f>
        <v/>
      </c>
      <c r="B311" s="4">
        <f>B310+$B$6</f>
        <v/>
      </c>
      <c r="C311" s="4">
        <f>C310+$B$6*D310</f>
        <v/>
      </c>
      <c r="D311" s="4">
        <f>$B$3*C311^(3/4)*(1-(C311/$B$4)^(1/4))</f>
        <v/>
      </c>
      <c r="E311" s="4">
        <f>( $B$8 + ($B$9-$B$8)*EXP(-$B$3*B311/(4*$B$8)) )^4</f>
        <v/>
      </c>
      <c r="F311" s="4">
        <f>ABS(C311-E311)</f>
        <v/>
      </c>
    </row>
    <row r="312">
      <c r="A312" s="4">
        <f>A311+1</f>
        <v/>
      </c>
      <c r="B312" s="4">
        <f>B311+$B$6</f>
        <v/>
      </c>
      <c r="C312" s="4">
        <f>C311+$B$6*D311</f>
        <v/>
      </c>
      <c r="D312" s="4">
        <f>$B$3*C312^(3/4)*(1-(C312/$B$4)^(1/4))</f>
        <v/>
      </c>
      <c r="E312" s="4">
        <f>( $B$8 + ($B$9-$B$8)*EXP(-$B$3*B312/(4*$B$8)) )^4</f>
        <v/>
      </c>
      <c r="F312" s="4">
        <f>ABS(C312-E312)</f>
        <v/>
      </c>
    </row>
    <row r="313">
      <c r="A313" s="4">
        <f>A312+1</f>
        <v/>
      </c>
      <c r="B313" s="4">
        <f>B312+$B$6</f>
        <v/>
      </c>
      <c r="C313" s="4">
        <f>C312+$B$6*D312</f>
        <v/>
      </c>
      <c r="D313" s="4">
        <f>$B$3*C313^(3/4)*(1-(C313/$B$4)^(1/4))</f>
        <v/>
      </c>
      <c r="E313" s="4">
        <f>( $B$8 + ($B$9-$B$8)*EXP(-$B$3*B313/(4*$B$8)) )^4</f>
        <v/>
      </c>
      <c r="F313" s="4">
        <f>ABS(C313-E313)</f>
        <v/>
      </c>
    </row>
    <row r="314">
      <c r="A314" s="4">
        <f>A313+1</f>
        <v/>
      </c>
      <c r="B314" s="4">
        <f>B313+$B$6</f>
        <v/>
      </c>
      <c r="C314" s="4">
        <f>C313+$B$6*D313</f>
        <v/>
      </c>
      <c r="D314" s="4">
        <f>$B$3*C314^(3/4)*(1-(C314/$B$4)^(1/4))</f>
        <v/>
      </c>
      <c r="E314" s="4">
        <f>( $B$8 + ($B$9-$B$8)*EXP(-$B$3*B314/(4*$B$8)) )^4</f>
        <v/>
      </c>
      <c r="F314" s="4">
        <f>ABS(C314-E314)</f>
        <v/>
      </c>
    </row>
    <row r="315">
      <c r="A315" s="4">
        <f>A314+1</f>
        <v/>
      </c>
      <c r="B315" s="4">
        <f>B314+$B$6</f>
        <v/>
      </c>
      <c r="C315" s="4">
        <f>C314+$B$6*D314</f>
        <v/>
      </c>
      <c r="D315" s="4">
        <f>$B$3*C315^(3/4)*(1-(C315/$B$4)^(1/4))</f>
        <v/>
      </c>
      <c r="E315" s="4">
        <f>( $B$8 + ($B$9-$B$8)*EXP(-$B$3*B315/(4*$B$8)) )^4</f>
        <v/>
      </c>
      <c r="F315" s="4">
        <f>ABS(C315-E315)</f>
        <v/>
      </c>
    </row>
    <row r="316">
      <c r="A316" s="4">
        <f>A315+1</f>
        <v/>
      </c>
      <c r="B316" s="4">
        <f>B315+$B$6</f>
        <v/>
      </c>
      <c r="C316" s="4">
        <f>C315+$B$6*D315</f>
        <v/>
      </c>
      <c r="D316" s="4">
        <f>$B$3*C316^(3/4)*(1-(C316/$B$4)^(1/4))</f>
        <v/>
      </c>
      <c r="E316" s="4">
        <f>( $B$8 + ($B$9-$B$8)*EXP(-$B$3*B316/(4*$B$8)) )^4</f>
        <v/>
      </c>
      <c r="F316" s="4">
        <f>ABS(C316-E316)</f>
        <v/>
      </c>
    </row>
    <row r="317">
      <c r="A317" s="4">
        <f>A316+1</f>
        <v/>
      </c>
      <c r="B317" s="4">
        <f>B316+$B$6</f>
        <v/>
      </c>
      <c r="C317" s="4">
        <f>C316+$B$6*D316</f>
        <v/>
      </c>
      <c r="D317" s="4">
        <f>$B$3*C317^(3/4)*(1-(C317/$B$4)^(1/4))</f>
        <v/>
      </c>
      <c r="E317" s="4">
        <f>( $B$8 + ($B$9-$B$8)*EXP(-$B$3*B317/(4*$B$8)) )^4</f>
        <v/>
      </c>
      <c r="F317" s="4">
        <f>ABS(C317-E317)</f>
        <v/>
      </c>
    </row>
    <row r="318">
      <c r="A318" s="4">
        <f>A317+1</f>
        <v/>
      </c>
      <c r="B318" s="4">
        <f>B317+$B$6</f>
        <v/>
      </c>
      <c r="C318" s="4">
        <f>C317+$B$6*D317</f>
        <v/>
      </c>
      <c r="D318" s="4">
        <f>$B$3*C318^(3/4)*(1-(C318/$B$4)^(1/4))</f>
        <v/>
      </c>
      <c r="E318" s="4">
        <f>( $B$8 + ($B$9-$B$8)*EXP(-$B$3*B318/(4*$B$8)) )^4</f>
        <v/>
      </c>
      <c r="F318" s="4">
        <f>ABS(C318-E318)</f>
        <v/>
      </c>
    </row>
    <row r="319">
      <c r="A319" s="4">
        <f>A318+1</f>
        <v/>
      </c>
      <c r="B319" s="4">
        <f>B318+$B$6</f>
        <v/>
      </c>
      <c r="C319" s="4">
        <f>C318+$B$6*D318</f>
        <v/>
      </c>
      <c r="D319" s="4">
        <f>$B$3*C319^(3/4)*(1-(C319/$B$4)^(1/4))</f>
        <v/>
      </c>
      <c r="E319" s="4">
        <f>( $B$8 + ($B$9-$B$8)*EXP(-$B$3*B319/(4*$B$8)) )^4</f>
        <v/>
      </c>
      <c r="F319" s="4">
        <f>ABS(C319-E319)</f>
        <v/>
      </c>
    </row>
    <row r="320">
      <c r="A320" s="4">
        <f>A319+1</f>
        <v/>
      </c>
      <c r="B320" s="4">
        <f>B319+$B$6</f>
        <v/>
      </c>
      <c r="C320" s="4">
        <f>C319+$B$6*D319</f>
        <v/>
      </c>
      <c r="D320" s="4">
        <f>$B$3*C320^(3/4)*(1-(C320/$B$4)^(1/4))</f>
        <v/>
      </c>
      <c r="E320" s="4">
        <f>( $B$8 + ($B$9-$B$8)*EXP(-$B$3*B320/(4*$B$8)) )^4</f>
        <v/>
      </c>
      <c r="F320" s="4">
        <f>ABS(C320-E320)</f>
        <v/>
      </c>
    </row>
    <row r="321">
      <c r="A321" s="4">
        <f>A320+1</f>
        <v/>
      </c>
      <c r="B321" s="4">
        <f>B320+$B$6</f>
        <v/>
      </c>
      <c r="C321" s="4">
        <f>C320+$B$6*D320</f>
        <v/>
      </c>
      <c r="D321" s="4">
        <f>$B$3*C321^(3/4)*(1-(C321/$B$4)^(1/4))</f>
        <v/>
      </c>
      <c r="E321" s="4">
        <f>( $B$8 + ($B$9-$B$8)*EXP(-$B$3*B321/(4*$B$8)) )^4</f>
        <v/>
      </c>
      <c r="F321" s="4">
        <f>ABS(C321-E321)</f>
        <v/>
      </c>
    </row>
    <row r="322">
      <c r="A322" s="4">
        <f>A321+1</f>
        <v/>
      </c>
      <c r="B322" s="4">
        <f>B321+$B$6</f>
        <v/>
      </c>
      <c r="C322" s="4">
        <f>C321+$B$6*D321</f>
        <v/>
      </c>
      <c r="D322" s="4">
        <f>$B$3*C322^(3/4)*(1-(C322/$B$4)^(1/4))</f>
        <v/>
      </c>
      <c r="E322" s="4">
        <f>( $B$8 + ($B$9-$B$8)*EXP(-$B$3*B322/(4*$B$8)) )^4</f>
        <v/>
      </c>
      <c r="F322" s="4">
        <f>ABS(C322-E322)</f>
        <v/>
      </c>
    </row>
    <row r="323">
      <c r="A323" s="4">
        <f>A322+1</f>
        <v/>
      </c>
      <c r="B323" s="4">
        <f>B322+$B$6</f>
        <v/>
      </c>
      <c r="C323" s="4">
        <f>C322+$B$6*D322</f>
        <v/>
      </c>
      <c r="D323" s="4">
        <f>$B$3*C323^(3/4)*(1-(C323/$B$4)^(1/4))</f>
        <v/>
      </c>
      <c r="E323" s="4">
        <f>( $B$8 + ($B$9-$B$8)*EXP(-$B$3*B323/(4*$B$8)) )^4</f>
        <v/>
      </c>
      <c r="F323" s="4">
        <f>ABS(C323-E323)</f>
        <v/>
      </c>
    </row>
    <row r="324">
      <c r="A324" s="4">
        <f>A323+1</f>
        <v/>
      </c>
      <c r="B324" s="4">
        <f>B323+$B$6</f>
        <v/>
      </c>
      <c r="C324" s="4">
        <f>C323+$B$6*D323</f>
        <v/>
      </c>
      <c r="D324" s="4">
        <f>$B$3*C324^(3/4)*(1-(C324/$B$4)^(1/4))</f>
        <v/>
      </c>
      <c r="E324" s="4">
        <f>( $B$8 + ($B$9-$B$8)*EXP(-$B$3*B324/(4*$B$8)) )^4</f>
        <v/>
      </c>
      <c r="F324" s="4">
        <f>ABS(C324-E324)</f>
        <v/>
      </c>
    </row>
    <row r="325">
      <c r="A325" s="4">
        <f>A324+1</f>
        <v/>
      </c>
      <c r="B325" s="4">
        <f>B324+$B$6</f>
        <v/>
      </c>
      <c r="C325" s="4">
        <f>C324+$B$6*D324</f>
        <v/>
      </c>
      <c r="D325" s="4">
        <f>$B$3*C325^(3/4)*(1-(C325/$B$4)^(1/4))</f>
        <v/>
      </c>
      <c r="E325" s="4">
        <f>( $B$8 + ($B$9-$B$8)*EXP(-$B$3*B325/(4*$B$8)) )^4</f>
        <v/>
      </c>
      <c r="F325" s="4">
        <f>ABS(C325-E325)</f>
        <v/>
      </c>
    </row>
    <row r="326">
      <c r="A326" s="4">
        <f>A325+1</f>
        <v/>
      </c>
      <c r="B326" s="4">
        <f>B325+$B$6</f>
        <v/>
      </c>
      <c r="C326" s="4">
        <f>C325+$B$6*D325</f>
        <v/>
      </c>
      <c r="D326" s="4">
        <f>$B$3*C326^(3/4)*(1-(C326/$B$4)^(1/4))</f>
        <v/>
      </c>
      <c r="E326" s="4">
        <f>( $B$8 + ($B$9-$B$8)*EXP(-$B$3*B326/(4*$B$8)) )^4</f>
        <v/>
      </c>
      <c r="F326" s="4">
        <f>ABS(C326-E326)</f>
        <v/>
      </c>
    </row>
    <row r="327">
      <c r="A327" s="4">
        <f>A326+1</f>
        <v/>
      </c>
      <c r="B327" s="4">
        <f>B326+$B$6</f>
        <v/>
      </c>
      <c r="C327" s="4">
        <f>C326+$B$6*D326</f>
        <v/>
      </c>
      <c r="D327" s="4">
        <f>$B$3*C327^(3/4)*(1-(C327/$B$4)^(1/4))</f>
        <v/>
      </c>
      <c r="E327" s="4">
        <f>( $B$8 + ($B$9-$B$8)*EXP(-$B$3*B327/(4*$B$8)) )^4</f>
        <v/>
      </c>
      <c r="F327" s="4">
        <f>ABS(C327-E327)</f>
        <v/>
      </c>
    </row>
    <row r="328">
      <c r="A328" s="4">
        <f>A327+1</f>
        <v/>
      </c>
      <c r="B328" s="4">
        <f>B327+$B$6</f>
        <v/>
      </c>
      <c r="C328" s="4">
        <f>C327+$B$6*D327</f>
        <v/>
      </c>
      <c r="D328" s="4">
        <f>$B$3*C328^(3/4)*(1-(C328/$B$4)^(1/4))</f>
        <v/>
      </c>
      <c r="E328" s="4">
        <f>( $B$8 + ($B$9-$B$8)*EXP(-$B$3*B328/(4*$B$8)) )^4</f>
        <v/>
      </c>
      <c r="F328" s="4">
        <f>ABS(C328-E328)</f>
        <v/>
      </c>
    </row>
    <row r="329">
      <c r="A329" s="4">
        <f>A328+1</f>
        <v/>
      </c>
      <c r="B329" s="4">
        <f>B328+$B$6</f>
        <v/>
      </c>
      <c r="C329" s="4">
        <f>C328+$B$6*D328</f>
        <v/>
      </c>
      <c r="D329" s="4">
        <f>$B$3*C329^(3/4)*(1-(C329/$B$4)^(1/4))</f>
        <v/>
      </c>
      <c r="E329" s="4">
        <f>( $B$8 + ($B$9-$B$8)*EXP(-$B$3*B329/(4*$B$8)) )^4</f>
        <v/>
      </c>
      <c r="F329" s="4">
        <f>ABS(C329-E329)</f>
        <v/>
      </c>
    </row>
    <row r="330">
      <c r="A330" s="4">
        <f>A329+1</f>
        <v/>
      </c>
      <c r="B330" s="4">
        <f>B329+$B$6</f>
        <v/>
      </c>
      <c r="C330" s="4">
        <f>C329+$B$6*D329</f>
        <v/>
      </c>
      <c r="D330" s="4">
        <f>$B$3*C330^(3/4)*(1-(C330/$B$4)^(1/4))</f>
        <v/>
      </c>
      <c r="E330" s="4">
        <f>( $B$8 + ($B$9-$B$8)*EXP(-$B$3*B330/(4*$B$8)) )^4</f>
        <v/>
      </c>
      <c r="F330" s="4">
        <f>ABS(C330-E330)</f>
        <v/>
      </c>
    </row>
    <row r="331">
      <c r="A331" s="4">
        <f>A330+1</f>
        <v/>
      </c>
      <c r="B331" s="4">
        <f>B330+$B$6</f>
        <v/>
      </c>
      <c r="C331" s="4">
        <f>C330+$B$6*D330</f>
        <v/>
      </c>
      <c r="D331" s="4">
        <f>$B$3*C331^(3/4)*(1-(C331/$B$4)^(1/4))</f>
        <v/>
      </c>
      <c r="E331" s="4">
        <f>( $B$8 + ($B$9-$B$8)*EXP(-$B$3*B331/(4*$B$8)) )^4</f>
        <v/>
      </c>
      <c r="F331" s="4">
        <f>ABS(C331-E331)</f>
        <v/>
      </c>
    </row>
    <row r="332">
      <c r="A332" s="4">
        <f>A331+1</f>
        <v/>
      </c>
      <c r="B332" s="4">
        <f>B331+$B$6</f>
        <v/>
      </c>
      <c r="C332" s="4">
        <f>C331+$B$6*D331</f>
        <v/>
      </c>
      <c r="D332" s="4">
        <f>$B$3*C332^(3/4)*(1-(C332/$B$4)^(1/4))</f>
        <v/>
      </c>
      <c r="E332" s="4">
        <f>( $B$8 + ($B$9-$B$8)*EXP(-$B$3*B332/(4*$B$8)) )^4</f>
        <v/>
      </c>
      <c r="F332" s="4">
        <f>ABS(C332-E332)</f>
        <v/>
      </c>
    </row>
    <row r="333">
      <c r="A333" s="4">
        <f>A332+1</f>
        <v/>
      </c>
      <c r="B333" s="4">
        <f>B332+$B$6</f>
        <v/>
      </c>
      <c r="C333" s="4">
        <f>C332+$B$6*D332</f>
        <v/>
      </c>
      <c r="D333" s="4">
        <f>$B$3*C333^(3/4)*(1-(C333/$B$4)^(1/4))</f>
        <v/>
      </c>
      <c r="E333" s="4">
        <f>( $B$8 + ($B$9-$B$8)*EXP(-$B$3*B333/(4*$B$8)) )^4</f>
        <v/>
      </c>
      <c r="F333" s="4">
        <f>ABS(C333-E333)</f>
        <v/>
      </c>
    </row>
    <row r="334">
      <c r="A334" s="4">
        <f>A333+1</f>
        <v/>
      </c>
      <c r="B334" s="4">
        <f>B333+$B$6</f>
        <v/>
      </c>
      <c r="C334" s="4">
        <f>C333+$B$6*D333</f>
        <v/>
      </c>
      <c r="D334" s="4">
        <f>$B$3*C334^(3/4)*(1-(C334/$B$4)^(1/4))</f>
        <v/>
      </c>
      <c r="E334" s="4">
        <f>( $B$8 + ($B$9-$B$8)*EXP(-$B$3*B334/(4*$B$8)) )^4</f>
        <v/>
      </c>
      <c r="F334" s="4">
        <f>ABS(C334-E334)</f>
        <v/>
      </c>
    </row>
    <row r="335">
      <c r="A335" s="4">
        <f>A334+1</f>
        <v/>
      </c>
      <c r="B335" s="4">
        <f>B334+$B$6</f>
        <v/>
      </c>
      <c r="C335" s="4">
        <f>C334+$B$6*D334</f>
        <v/>
      </c>
      <c r="D335" s="4">
        <f>$B$3*C335^(3/4)*(1-(C335/$B$4)^(1/4))</f>
        <v/>
      </c>
      <c r="E335" s="4">
        <f>( $B$8 + ($B$9-$B$8)*EXP(-$B$3*B335/(4*$B$8)) )^4</f>
        <v/>
      </c>
      <c r="F335" s="4">
        <f>ABS(C335-E335)</f>
        <v/>
      </c>
    </row>
    <row r="336">
      <c r="A336" s="4">
        <f>A335+1</f>
        <v/>
      </c>
      <c r="B336" s="4">
        <f>B335+$B$6</f>
        <v/>
      </c>
      <c r="C336" s="4">
        <f>C335+$B$6*D335</f>
        <v/>
      </c>
      <c r="D336" s="4">
        <f>$B$3*C336^(3/4)*(1-(C336/$B$4)^(1/4))</f>
        <v/>
      </c>
      <c r="E336" s="4">
        <f>( $B$8 + ($B$9-$B$8)*EXP(-$B$3*B336/(4*$B$8)) )^4</f>
        <v/>
      </c>
      <c r="F336" s="4">
        <f>ABS(C336-E336)</f>
        <v/>
      </c>
    </row>
    <row r="337">
      <c r="A337" s="4">
        <f>A336+1</f>
        <v/>
      </c>
      <c r="B337" s="4">
        <f>B336+$B$6</f>
        <v/>
      </c>
      <c r="C337" s="4">
        <f>C336+$B$6*D336</f>
        <v/>
      </c>
      <c r="D337" s="4">
        <f>$B$3*C337^(3/4)*(1-(C337/$B$4)^(1/4))</f>
        <v/>
      </c>
      <c r="E337" s="4">
        <f>( $B$8 + ($B$9-$B$8)*EXP(-$B$3*B337/(4*$B$8)) )^4</f>
        <v/>
      </c>
      <c r="F337" s="4">
        <f>ABS(C337-E337)</f>
        <v/>
      </c>
    </row>
    <row r="338">
      <c r="A338" s="4">
        <f>A337+1</f>
        <v/>
      </c>
      <c r="B338" s="4">
        <f>B337+$B$6</f>
        <v/>
      </c>
      <c r="C338" s="4">
        <f>C337+$B$6*D337</f>
        <v/>
      </c>
      <c r="D338" s="4">
        <f>$B$3*C338^(3/4)*(1-(C338/$B$4)^(1/4))</f>
        <v/>
      </c>
      <c r="E338" s="4">
        <f>( $B$8 + ($B$9-$B$8)*EXP(-$B$3*B338/(4*$B$8)) )^4</f>
        <v/>
      </c>
      <c r="F338" s="4">
        <f>ABS(C338-E338)</f>
        <v/>
      </c>
    </row>
    <row r="339">
      <c r="A339" s="4">
        <f>A338+1</f>
        <v/>
      </c>
      <c r="B339" s="4">
        <f>B338+$B$6</f>
        <v/>
      </c>
      <c r="C339" s="4">
        <f>C338+$B$6*D338</f>
        <v/>
      </c>
      <c r="D339" s="4">
        <f>$B$3*C339^(3/4)*(1-(C339/$B$4)^(1/4))</f>
        <v/>
      </c>
      <c r="E339" s="4">
        <f>( $B$8 + ($B$9-$B$8)*EXP(-$B$3*B339/(4*$B$8)) )^4</f>
        <v/>
      </c>
      <c r="F339" s="4">
        <f>ABS(C339-E339)</f>
        <v/>
      </c>
    </row>
    <row r="340">
      <c r="A340" s="4">
        <f>A339+1</f>
        <v/>
      </c>
      <c r="B340" s="4">
        <f>B339+$B$6</f>
        <v/>
      </c>
      <c r="C340" s="4">
        <f>C339+$B$6*D339</f>
        <v/>
      </c>
      <c r="D340" s="4">
        <f>$B$3*C340^(3/4)*(1-(C340/$B$4)^(1/4))</f>
        <v/>
      </c>
      <c r="E340" s="4">
        <f>( $B$8 + ($B$9-$B$8)*EXP(-$B$3*B340/(4*$B$8)) )^4</f>
        <v/>
      </c>
      <c r="F340" s="4">
        <f>ABS(C340-E340)</f>
        <v/>
      </c>
    </row>
    <row r="341">
      <c r="A341" s="4">
        <f>A340+1</f>
        <v/>
      </c>
      <c r="B341" s="4">
        <f>B340+$B$6</f>
        <v/>
      </c>
      <c r="C341" s="4">
        <f>C340+$B$6*D340</f>
        <v/>
      </c>
      <c r="D341" s="4">
        <f>$B$3*C341^(3/4)*(1-(C341/$B$4)^(1/4))</f>
        <v/>
      </c>
      <c r="E341" s="4">
        <f>( $B$8 + ($B$9-$B$8)*EXP(-$B$3*B341/(4*$B$8)) )^4</f>
        <v/>
      </c>
      <c r="F341" s="4">
        <f>ABS(C341-E341)</f>
        <v/>
      </c>
    </row>
    <row r="342">
      <c r="A342" s="4">
        <f>A341+1</f>
        <v/>
      </c>
      <c r="B342" s="4">
        <f>B341+$B$6</f>
        <v/>
      </c>
      <c r="C342" s="4">
        <f>C341+$B$6*D341</f>
        <v/>
      </c>
      <c r="D342" s="4">
        <f>$B$3*C342^(3/4)*(1-(C342/$B$4)^(1/4))</f>
        <v/>
      </c>
      <c r="E342" s="4">
        <f>( $B$8 + ($B$9-$B$8)*EXP(-$B$3*B342/(4*$B$8)) )^4</f>
        <v/>
      </c>
      <c r="F342" s="4">
        <f>ABS(C342-E342)</f>
        <v/>
      </c>
    </row>
    <row r="343">
      <c r="A343" s="4">
        <f>A342+1</f>
        <v/>
      </c>
      <c r="B343" s="4">
        <f>B342+$B$6</f>
        <v/>
      </c>
      <c r="C343" s="4">
        <f>C342+$B$6*D342</f>
        <v/>
      </c>
      <c r="D343" s="4">
        <f>$B$3*C343^(3/4)*(1-(C343/$B$4)^(1/4))</f>
        <v/>
      </c>
      <c r="E343" s="4">
        <f>( $B$8 + ($B$9-$B$8)*EXP(-$B$3*B343/(4*$B$8)) )^4</f>
        <v/>
      </c>
      <c r="F343" s="4">
        <f>ABS(C343-E343)</f>
        <v/>
      </c>
    </row>
    <row r="344">
      <c r="A344" s="4">
        <f>A343+1</f>
        <v/>
      </c>
      <c r="B344" s="4">
        <f>B343+$B$6</f>
        <v/>
      </c>
      <c r="C344" s="4">
        <f>C343+$B$6*D343</f>
        <v/>
      </c>
      <c r="D344" s="4">
        <f>$B$3*C344^(3/4)*(1-(C344/$B$4)^(1/4))</f>
        <v/>
      </c>
      <c r="E344" s="4">
        <f>( $B$8 + ($B$9-$B$8)*EXP(-$B$3*B344/(4*$B$8)) )^4</f>
        <v/>
      </c>
      <c r="F344" s="4">
        <f>ABS(C344-E344)</f>
        <v/>
      </c>
    </row>
    <row r="345">
      <c r="A345" s="4">
        <f>A344+1</f>
        <v/>
      </c>
      <c r="B345" s="4">
        <f>B344+$B$6</f>
        <v/>
      </c>
      <c r="C345" s="4">
        <f>C344+$B$6*D344</f>
        <v/>
      </c>
      <c r="D345" s="4">
        <f>$B$3*C345^(3/4)*(1-(C345/$B$4)^(1/4))</f>
        <v/>
      </c>
      <c r="E345" s="4">
        <f>( $B$8 + ($B$9-$B$8)*EXP(-$B$3*B345/(4*$B$8)) )^4</f>
        <v/>
      </c>
      <c r="F345" s="4">
        <f>ABS(C345-E345)</f>
        <v/>
      </c>
    </row>
    <row r="346">
      <c r="A346" s="4">
        <f>A345+1</f>
        <v/>
      </c>
      <c r="B346" s="4">
        <f>B345+$B$6</f>
        <v/>
      </c>
      <c r="C346" s="4">
        <f>C345+$B$6*D345</f>
        <v/>
      </c>
      <c r="D346" s="4">
        <f>$B$3*C346^(3/4)*(1-(C346/$B$4)^(1/4))</f>
        <v/>
      </c>
      <c r="E346" s="4">
        <f>( $B$8 + ($B$9-$B$8)*EXP(-$B$3*B346/(4*$B$8)) )^4</f>
        <v/>
      </c>
      <c r="F346" s="4">
        <f>ABS(C346-E346)</f>
        <v/>
      </c>
    </row>
    <row r="347">
      <c r="A347" s="4">
        <f>A346+1</f>
        <v/>
      </c>
      <c r="B347" s="4">
        <f>B346+$B$6</f>
        <v/>
      </c>
      <c r="C347" s="4">
        <f>C346+$B$6*D346</f>
        <v/>
      </c>
      <c r="D347" s="4">
        <f>$B$3*C347^(3/4)*(1-(C347/$B$4)^(1/4))</f>
        <v/>
      </c>
      <c r="E347" s="4">
        <f>( $B$8 + ($B$9-$B$8)*EXP(-$B$3*B347/(4*$B$8)) )^4</f>
        <v/>
      </c>
      <c r="F347" s="4">
        <f>ABS(C347-E347)</f>
        <v/>
      </c>
    </row>
    <row r="348">
      <c r="A348" s="4">
        <f>A347+1</f>
        <v/>
      </c>
      <c r="B348" s="4">
        <f>B347+$B$6</f>
        <v/>
      </c>
      <c r="C348" s="4">
        <f>C347+$B$6*D347</f>
        <v/>
      </c>
      <c r="D348" s="4">
        <f>$B$3*C348^(3/4)*(1-(C348/$B$4)^(1/4))</f>
        <v/>
      </c>
      <c r="E348" s="4">
        <f>( $B$8 + ($B$9-$B$8)*EXP(-$B$3*B348/(4*$B$8)) )^4</f>
        <v/>
      </c>
      <c r="F348" s="4">
        <f>ABS(C348-E348)</f>
        <v/>
      </c>
    </row>
    <row r="349">
      <c r="A349" s="4">
        <f>A348+1</f>
        <v/>
      </c>
      <c r="B349" s="4">
        <f>B348+$B$6</f>
        <v/>
      </c>
      <c r="C349" s="4">
        <f>C348+$B$6*D348</f>
        <v/>
      </c>
      <c r="D349" s="4">
        <f>$B$3*C349^(3/4)*(1-(C349/$B$4)^(1/4))</f>
        <v/>
      </c>
      <c r="E349" s="4">
        <f>( $B$8 + ($B$9-$B$8)*EXP(-$B$3*B349/(4*$B$8)) )^4</f>
        <v/>
      </c>
      <c r="F349" s="4">
        <f>ABS(C349-E349)</f>
        <v/>
      </c>
    </row>
    <row r="350">
      <c r="A350" s="4">
        <f>A349+1</f>
        <v/>
      </c>
      <c r="B350" s="4">
        <f>B349+$B$6</f>
        <v/>
      </c>
      <c r="C350" s="4">
        <f>C349+$B$6*D349</f>
        <v/>
      </c>
      <c r="D350" s="4">
        <f>$B$3*C350^(3/4)*(1-(C350/$B$4)^(1/4))</f>
        <v/>
      </c>
      <c r="E350" s="4">
        <f>( $B$8 + ($B$9-$B$8)*EXP(-$B$3*B350/(4*$B$8)) )^4</f>
        <v/>
      </c>
      <c r="F350" s="4">
        <f>ABS(C350-E350)</f>
        <v/>
      </c>
    </row>
    <row r="351">
      <c r="A351" s="4">
        <f>A350+1</f>
        <v/>
      </c>
      <c r="B351" s="4">
        <f>B350+$B$6</f>
        <v/>
      </c>
      <c r="C351" s="4">
        <f>C350+$B$6*D350</f>
        <v/>
      </c>
      <c r="D351" s="4">
        <f>$B$3*C351^(3/4)*(1-(C351/$B$4)^(1/4))</f>
        <v/>
      </c>
      <c r="E351" s="4">
        <f>( $B$8 + ($B$9-$B$8)*EXP(-$B$3*B351/(4*$B$8)) )^4</f>
        <v/>
      </c>
      <c r="F351" s="4">
        <f>ABS(C351-E351)</f>
        <v/>
      </c>
    </row>
    <row r="352">
      <c r="A352" s="4">
        <f>A351+1</f>
        <v/>
      </c>
      <c r="B352" s="4">
        <f>B351+$B$6</f>
        <v/>
      </c>
      <c r="C352" s="4">
        <f>C351+$B$6*D351</f>
        <v/>
      </c>
      <c r="D352" s="4">
        <f>$B$3*C352^(3/4)*(1-(C352/$B$4)^(1/4))</f>
        <v/>
      </c>
      <c r="E352" s="4">
        <f>( $B$8 + ($B$9-$B$8)*EXP(-$B$3*B352/(4*$B$8)) )^4</f>
        <v/>
      </c>
      <c r="F352" s="4">
        <f>ABS(C352-E352)</f>
        <v/>
      </c>
    </row>
    <row r="353">
      <c r="A353" s="4">
        <f>A352+1</f>
        <v/>
      </c>
      <c r="B353" s="4">
        <f>B352+$B$6</f>
        <v/>
      </c>
      <c r="C353" s="4">
        <f>C352+$B$6*D352</f>
        <v/>
      </c>
      <c r="D353" s="4">
        <f>$B$3*C353^(3/4)*(1-(C353/$B$4)^(1/4))</f>
        <v/>
      </c>
      <c r="E353" s="4">
        <f>( $B$8 + ($B$9-$B$8)*EXP(-$B$3*B353/(4*$B$8)) )^4</f>
        <v/>
      </c>
      <c r="F353" s="4">
        <f>ABS(C353-E353)</f>
        <v/>
      </c>
    </row>
    <row r="354">
      <c r="A354" s="4">
        <f>A353+1</f>
        <v/>
      </c>
      <c r="B354" s="4">
        <f>B353+$B$6</f>
        <v/>
      </c>
      <c r="C354" s="4">
        <f>C353+$B$6*D353</f>
        <v/>
      </c>
      <c r="D354" s="4">
        <f>$B$3*C354^(3/4)*(1-(C354/$B$4)^(1/4))</f>
        <v/>
      </c>
      <c r="E354" s="4">
        <f>( $B$8 + ($B$9-$B$8)*EXP(-$B$3*B354/(4*$B$8)) )^4</f>
        <v/>
      </c>
      <c r="F354" s="4">
        <f>ABS(C354-E354)</f>
        <v/>
      </c>
    </row>
    <row r="355">
      <c r="A355" s="4">
        <f>A354+1</f>
        <v/>
      </c>
      <c r="B355" s="4">
        <f>B354+$B$6</f>
        <v/>
      </c>
      <c r="C355" s="4">
        <f>C354+$B$6*D354</f>
        <v/>
      </c>
      <c r="D355" s="4">
        <f>$B$3*C355^(3/4)*(1-(C355/$B$4)^(1/4))</f>
        <v/>
      </c>
      <c r="E355" s="4">
        <f>( $B$8 + ($B$9-$B$8)*EXP(-$B$3*B355/(4*$B$8)) )^4</f>
        <v/>
      </c>
      <c r="F355" s="4">
        <f>ABS(C355-E355)</f>
        <v/>
      </c>
    </row>
    <row r="356">
      <c r="A356" s="4">
        <f>A355+1</f>
        <v/>
      </c>
      <c r="B356" s="4">
        <f>B355+$B$6</f>
        <v/>
      </c>
      <c r="C356" s="4">
        <f>C355+$B$6*D355</f>
        <v/>
      </c>
      <c r="D356" s="4">
        <f>$B$3*C356^(3/4)*(1-(C356/$B$4)^(1/4))</f>
        <v/>
      </c>
      <c r="E356" s="4">
        <f>( $B$8 + ($B$9-$B$8)*EXP(-$B$3*B356/(4*$B$8)) )^4</f>
        <v/>
      </c>
      <c r="F356" s="4">
        <f>ABS(C356-E356)</f>
        <v/>
      </c>
    </row>
    <row r="357">
      <c r="A357" s="4">
        <f>A356+1</f>
        <v/>
      </c>
      <c r="B357" s="4">
        <f>B356+$B$6</f>
        <v/>
      </c>
      <c r="C357" s="4">
        <f>C356+$B$6*D356</f>
        <v/>
      </c>
      <c r="D357" s="4">
        <f>$B$3*C357^(3/4)*(1-(C357/$B$4)^(1/4))</f>
        <v/>
      </c>
      <c r="E357" s="4">
        <f>( $B$8 + ($B$9-$B$8)*EXP(-$B$3*B357/(4*$B$8)) )^4</f>
        <v/>
      </c>
      <c r="F357" s="4">
        <f>ABS(C357-E357)</f>
        <v/>
      </c>
    </row>
    <row r="358">
      <c r="A358" s="4">
        <f>A357+1</f>
        <v/>
      </c>
      <c r="B358" s="4">
        <f>B357+$B$6</f>
        <v/>
      </c>
      <c r="C358" s="4">
        <f>C357+$B$6*D357</f>
        <v/>
      </c>
      <c r="D358" s="4">
        <f>$B$3*C358^(3/4)*(1-(C358/$B$4)^(1/4))</f>
        <v/>
      </c>
      <c r="E358" s="4">
        <f>( $B$8 + ($B$9-$B$8)*EXP(-$B$3*B358/(4*$B$8)) )^4</f>
        <v/>
      </c>
      <c r="F358" s="4">
        <f>ABS(C358-E358)</f>
        <v/>
      </c>
    </row>
    <row r="359">
      <c r="A359" s="4">
        <f>A358+1</f>
        <v/>
      </c>
      <c r="B359" s="4">
        <f>B358+$B$6</f>
        <v/>
      </c>
      <c r="C359" s="4">
        <f>C358+$B$6*D358</f>
        <v/>
      </c>
      <c r="D359" s="4">
        <f>$B$3*C359^(3/4)*(1-(C359/$B$4)^(1/4))</f>
        <v/>
      </c>
      <c r="E359" s="4">
        <f>( $B$8 + ($B$9-$B$8)*EXP(-$B$3*B359/(4*$B$8)) )^4</f>
        <v/>
      </c>
      <c r="F359" s="4">
        <f>ABS(C359-E359)</f>
        <v/>
      </c>
    </row>
    <row r="360">
      <c r="A360" s="4">
        <f>A359+1</f>
        <v/>
      </c>
      <c r="B360" s="4">
        <f>B359+$B$6</f>
        <v/>
      </c>
      <c r="C360" s="4">
        <f>C359+$B$6*D359</f>
        <v/>
      </c>
      <c r="D360" s="4">
        <f>$B$3*C360^(3/4)*(1-(C360/$B$4)^(1/4))</f>
        <v/>
      </c>
      <c r="E360" s="4">
        <f>( $B$8 + ($B$9-$B$8)*EXP(-$B$3*B360/(4*$B$8)) )^4</f>
        <v/>
      </c>
      <c r="F360" s="4">
        <f>ABS(C360-E360)</f>
        <v/>
      </c>
    </row>
    <row r="361">
      <c r="A361" s="4">
        <f>A360+1</f>
        <v/>
      </c>
      <c r="B361" s="4">
        <f>B360+$B$6</f>
        <v/>
      </c>
      <c r="C361" s="4">
        <f>C360+$B$6*D360</f>
        <v/>
      </c>
      <c r="D361" s="4">
        <f>$B$3*C361^(3/4)*(1-(C361/$B$4)^(1/4))</f>
        <v/>
      </c>
      <c r="E361" s="4">
        <f>( $B$8 + ($B$9-$B$8)*EXP(-$B$3*B361/(4*$B$8)) )^4</f>
        <v/>
      </c>
      <c r="F361" s="4">
        <f>ABS(C361-E361)</f>
        <v/>
      </c>
    </row>
    <row r="362">
      <c r="A362" s="4">
        <f>A361+1</f>
        <v/>
      </c>
      <c r="B362" s="4">
        <f>B361+$B$6</f>
        <v/>
      </c>
      <c r="C362" s="4">
        <f>C361+$B$6*D361</f>
        <v/>
      </c>
      <c r="D362" s="4">
        <f>$B$3*C362^(3/4)*(1-(C362/$B$4)^(1/4))</f>
        <v/>
      </c>
      <c r="E362" s="4">
        <f>( $B$8 + ($B$9-$B$8)*EXP(-$B$3*B362/(4*$B$8)) )^4</f>
        <v/>
      </c>
      <c r="F362" s="4">
        <f>ABS(C362-E362)</f>
        <v/>
      </c>
    </row>
    <row r="363">
      <c r="A363" s="4">
        <f>A362+1</f>
        <v/>
      </c>
      <c r="B363" s="4">
        <f>B362+$B$6</f>
        <v/>
      </c>
      <c r="C363" s="4">
        <f>C362+$B$6*D362</f>
        <v/>
      </c>
      <c r="D363" s="4">
        <f>$B$3*C363^(3/4)*(1-(C363/$B$4)^(1/4))</f>
        <v/>
      </c>
      <c r="E363" s="4">
        <f>( $B$8 + ($B$9-$B$8)*EXP(-$B$3*B363/(4*$B$8)) )^4</f>
        <v/>
      </c>
      <c r="F363" s="4">
        <f>ABS(C363-E363)</f>
        <v/>
      </c>
    </row>
    <row r="364">
      <c r="A364" s="4">
        <f>A363+1</f>
        <v/>
      </c>
      <c r="B364" s="4">
        <f>B363+$B$6</f>
        <v/>
      </c>
      <c r="C364" s="4">
        <f>C363+$B$6*D363</f>
        <v/>
      </c>
      <c r="D364" s="4">
        <f>$B$3*C364^(3/4)*(1-(C364/$B$4)^(1/4))</f>
        <v/>
      </c>
      <c r="E364" s="4">
        <f>( $B$8 + ($B$9-$B$8)*EXP(-$B$3*B364/(4*$B$8)) )^4</f>
        <v/>
      </c>
      <c r="F364" s="4">
        <f>ABS(C364-E364)</f>
        <v/>
      </c>
    </row>
    <row r="365">
      <c r="A365" s="4">
        <f>A364+1</f>
        <v/>
      </c>
      <c r="B365" s="4">
        <f>B364+$B$6</f>
        <v/>
      </c>
      <c r="C365" s="4">
        <f>C364+$B$6*D364</f>
        <v/>
      </c>
      <c r="D365" s="4">
        <f>$B$3*C365^(3/4)*(1-(C365/$B$4)^(1/4))</f>
        <v/>
      </c>
      <c r="E365" s="4">
        <f>( $B$8 + ($B$9-$B$8)*EXP(-$B$3*B365/(4*$B$8)) )^4</f>
        <v/>
      </c>
      <c r="F365" s="4">
        <f>ABS(C365-E365)</f>
        <v/>
      </c>
    </row>
    <row r="366">
      <c r="A366" s="4">
        <f>A365+1</f>
        <v/>
      </c>
      <c r="B366" s="4">
        <f>B365+$B$6</f>
        <v/>
      </c>
      <c r="C366" s="4">
        <f>C365+$B$6*D365</f>
        <v/>
      </c>
      <c r="D366" s="4">
        <f>$B$3*C366^(3/4)*(1-(C366/$B$4)^(1/4))</f>
        <v/>
      </c>
      <c r="E366" s="4">
        <f>( $B$8 + ($B$9-$B$8)*EXP(-$B$3*B366/(4*$B$8)) )^4</f>
        <v/>
      </c>
      <c r="F366" s="4">
        <f>ABS(C366-E366)</f>
        <v/>
      </c>
    </row>
    <row r="367">
      <c r="A367" s="4">
        <f>A366+1</f>
        <v/>
      </c>
      <c r="B367" s="4">
        <f>B366+$B$6</f>
        <v/>
      </c>
      <c r="C367" s="4">
        <f>C366+$B$6*D366</f>
        <v/>
      </c>
      <c r="D367" s="4">
        <f>$B$3*C367^(3/4)*(1-(C367/$B$4)^(1/4))</f>
        <v/>
      </c>
      <c r="E367" s="4">
        <f>( $B$8 + ($B$9-$B$8)*EXP(-$B$3*B367/(4*$B$8)) )^4</f>
        <v/>
      </c>
      <c r="F367" s="4">
        <f>ABS(C367-E367)</f>
        <v/>
      </c>
    </row>
    <row r="368">
      <c r="A368" s="4">
        <f>A367+1</f>
        <v/>
      </c>
      <c r="B368" s="4">
        <f>B367+$B$6</f>
        <v/>
      </c>
      <c r="C368" s="4">
        <f>C367+$B$6*D367</f>
        <v/>
      </c>
      <c r="D368" s="4">
        <f>$B$3*C368^(3/4)*(1-(C368/$B$4)^(1/4))</f>
        <v/>
      </c>
      <c r="E368" s="4">
        <f>( $B$8 + ($B$9-$B$8)*EXP(-$B$3*B368/(4*$B$8)) )^4</f>
        <v/>
      </c>
      <c r="F368" s="4">
        <f>ABS(C368-E368)</f>
        <v/>
      </c>
    </row>
    <row r="369">
      <c r="A369" s="4">
        <f>A368+1</f>
        <v/>
      </c>
      <c r="B369" s="4">
        <f>B368+$B$6</f>
        <v/>
      </c>
      <c r="C369" s="4">
        <f>C368+$B$6*D368</f>
        <v/>
      </c>
      <c r="D369" s="4">
        <f>$B$3*C369^(3/4)*(1-(C369/$B$4)^(1/4))</f>
        <v/>
      </c>
      <c r="E369" s="4">
        <f>( $B$8 + ($B$9-$B$8)*EXP(-$B$3*B369/(4*$B$8)) )^4</f>
        <v/>
      </c>
      <c r="F369" s="4">
        <f>ABS(C369-E369)</f>
        <v/>
      </c>
    </row>
    <row r="370">
      <c r="A370" s="4">
        <f>A369+1</f>
        <v/>
      </c>
      <c r="B370" s="4">
        <f>B369+$B$6</f>
        <v/>
      </c>
      <c r="C370" s="4">
        <f>C369+$B$6*D369</f>
        <v/>
      </c>
      <c r="D370" s="4">
        <f>$B$3*C370^(3/4)*(1-(C370/$B$4)^(1/4))</f>
        <v/>
      </c>
      <c r="E370" s="4">
        <f>( $B$8 + ($B$9-$B$8)*EXP(-$B$3*B370/(4*$B$8)) )^4</f>
        <v/>
      </c>
      <c r="F370" s="4">
        <f>ABS(C370-E370)</f>
        <v/>
      </c>
    </row>
    <row r="371">
      <c r="A371" s="4">
        <f>A370+1</f>
        <v/>
      </c>
      <c r="B371" s="4">
        <f>B370+$B$6</f>
        <v/>
      </c>
      <c r="C371" s="4">
        <f>C370+$B$6*D370</f>
        <v/>
      </c>
      <c r="D371" s="4">
        <f>$B$3*C371^(3/4)*(1-(C371/$B$4)^(1/4))</f>
        <v/>
      </c>
      <c r="E371" s="4">
        <f>( $B$8 + ($B$9-$B$8)*EXP(-$B$3*B371/(4*$B$8)) )^4</f>
        <v/>
      </c>
      <c r="F371" s="4">
        <f>ABS(C371-E371)</f>
        <v/>
      </c>
    </row>
    <row r="372">
      <c r="A372" s="4">
        <f>A371+1</f>
        <v/>
      </c>
      <c r="B372" s="4">
        <f>B371+$B$6</f>
        <v/>
      </c>
      <c r="C372" s="4">
        <f>C371+$B$6*D371</f>
        <v/>
      </c>
      <c r="D372" s="4">
        <f>$B$3*C372^(3/4)*(1-(C372/$B$4)^(1/4))</f>
        <v/>
      </c>
      <c r="E372" s="4">
        <f>( $B$8 + ($B$9-$B$8)*EXP(-$B$3*B372/(4*$B$8)) )^4</f>
        <v/>
      </c>
      <c r="F372" s="4">
        <f>ABS(C372-E372)</f>
        <v/>
      </c>
    </row>
    <row r="373">
      <c r="A373" s="4">
        <f>A372+1</f>
        <v/>
      </c>
      <c r="B373" s="4">
        <f>B372+$B$6</f>
        <v/>
      </c>
      <c r="C373" s="4">
        <f>C372+$B$6*D372</f>
        <v/>
      </c>
      <c r="D373" s="4">
        <f>$B$3*C373^(3/4)*(1-(C373/$B$4)^(1/4))</f>
        <v/>
      </c>
      <c r="E373" s="4">
        <f>( $B$8 + ($B$9-$B$8)*EXP(-$B$3*B373/(4*$B$8)) )^4</f>
        <v/>
      </c>
      <c r="F373" s="4">
        <f>ABS(C373-E373)</f>
        <v/>
      </c>
    </row>
    <row r="374">
      <c r="A374" s="4">
        <f>A373+1</f>
        <v/>
      </c>
      <c r="B374" s="4">
        <f>B373+$B$6</f>
        <v/>
      </c>
      <c r="C374" s="4">
        <f>C373+$B$6*D373</f>
        <v/>
      </c>
      <c r="D374" s="4">
        <f>$B$3*C374^(3/4)*(1-(C374/$B$4)^(1/4))</f>
        <v/>
      </c>
      <c r="E374" s="4">
        <f>( $B$8 + ($B$9-$B$8)*EXP(-$B$3*B374/(4*$B$8)) )^4</f>
        <v/>
      </c>
      <c r="F374" s="4">
        <f>ABS(C374-E374)</f>
        <v/>
      </c>
    </row>
    <row r="375">
      <c r="A375" s="4">
        <f>A374+1</f>
        <v/>
      </c>
      <c r="B375" s="4">
        <f>B374+$B$6</f>
        <v/>
      </c>
      <c r="C375" s="4">
        <f>C374+$B$6*D374</f>
        <v/>
      </c>
      <c r="D375" s="4">
        <f>$B$3*C375^(3/4)*(1-(C375/$B$4)^(1/4))</f>
        <v/>
      </c>
      <c r="E375" s="4">
        <f>( $B$8 + ($B$9-$B$8)*EXP(-$B$3*B375/(4*$B$8)) )^4</f>
        <v/>
      </c>
      <c r="F375" s="4">
        <f>ABS(C375-E375)</f>
        <v/>
      </c>
    </row>
    <row r="376">
      <c r="A376" s="4">
        <f>A375+1</f>
        <v/>
      </c>
      <c r="B376" s="4">
        <f>B375+$B$6</f>
        <v/>
      </c>
      <c r="C376" s="4">
        <f>C375+$B$6*D375</f>
        <v/>
      </c>
      <c r="D376" s="4">
        <f>$B$3*C376^(3/4)*(1-(C376/$B$4)^(1/4))</f>
        <v/>
      </c>
      <c r="E376" s="4">
        <f>( $B$8 + ($B$9-$B$8)*EXP(-$B$3*B376/(4*$B$8)) )^4</f>
        <v/>
      </c>
      <c r="F376" s="4">
        <f>ABS(C376-E376)</f>
        <v/>
      </c>
    </row>
    <row r="377">
      <c r="A377" s="4">
        <f>A376+1</f>
        <v/>
      </c>
      <c r="B377" s="4">
        <f>B376+$B$6</f>
        <v/>
      </c>
      <c r="C377" s="4">
        <f>C376+$B$6*D376</f>
        <v/>
      </c>
      <c r="D377" s="4">
        <f>$B$3*C377^(3/4)*(1-(C377/$B$4)^(1/4))</f>
        <v/>
      </c>
      <c r="E377" s="4">
        <f>( $B$8 + ($B$9-$B$8)*EXP(-$B$3*B377/(4*$B$8)) )^4</f>
        <v/>
      </c>
      <c r="F377" s="4">
        <f>ABS(C377-E377)</f>
        <v/>
      </c>
    </row>
    <row r="378">
      <c r="A378" s="4">
        <f>A377+1</f>
        <v/>
      </c>
      <c r="B378" s="4">
        <f>B377+$B$6</f>
        <v/>
      </c>
      <c r="C378" s="4">
        <f>C377+$B$6*D377</f>
        <v/>
      </c>
      <c r="D378" s="4">
        <f>$B$3*C378^(3/4)*(1-(C378/$B$4)^(1/4))</f>
        <v/>
      </c>
      <c r="E378" s="4">
        <f>( $B$8 + ($B$9-$B$8)*EXP(-$B$3*B378/(4*$B$8)) )^4</f>
        <v/>
      </c>
      <c r="F378" s="4">
        <f>ABS(C378-E378)</f>
        <v/>
      </c>
    </row>
    <row r="379">
      <c r="A379" s="4">
        <f>A378+1</f>
        <v/>
      </c>
      <c r="B379" s="4">
        <f>B378+$B$6</f>
        <v/>
      </c>
      <c r="C379" s="4">
        <f>C378+$B$6*D378</f>
        <v/>
      </c>
      <c r="D379" s="4">
        <f>$B$3*C379^(3/4)*(1-(C379/$B$4)^(1/4))</f>
        <v/>
      </c>
      <c r="E379" s="4">
        <f>( $B$8 + ($B$9-$B$8)*EXP(-$B$3*B379/(4*$B$8)) )^4</f>
        <v/>
      </c>
      <c r="F379" s="4">
        <f>ABS(C379-E379)</f>
        <v/>
      </c>
    </row>
    <row r="380">
      <c r="A380" s="4">
        <f>A379+1</f>
        <v/>
      </c>
      <c r="B380" s="4">
        <f>B379+$B$6</f>
        <v/>
      </c>
      <c r="C380" s="4">
        <f>C379+$B$6*D379</f>
        <v/>
      </c>
      <c r="D380" s="4">
        <f>$B$3*C380^(3/4)*(1-(C380/$B$4)^(1/4))</f>
        <v/>
      </c>
      <c r="E380" s="4">
        <f>( $B$8 + ($B$9-$B$8)*EXP(-$B$3*B380/(4*$B$8)) )^4</f>
        <v/>
      </c>
      <c r="F380" s="4">
        <f>ABS(C380-E380)</f>
        <v/>
      </c>
    </row>
    <row r="381">
      <c r="A381" s="4">
        <f>A380+1</f>
        <v/>
      </c>
      <c r="B381" s="4">
        <f>B380+$B$6</f>
        <v/>
      </c>
      <c r="C381" s="4">
        <f>C380+$B$6*D380</f>
        <v/>
      </c>
      <c r="D381" s="4">
        <f>$B$3*C381^(3/4)*(1-(C381/$B$4)^(1/4))</f>
        <v/>
      </c>
      <c r="E381" s="4">
        <f>( $B$8 + ($B$9-$B$8)*EXP(-$B$3*B381/(4*$B$8)) )^4</f>
        <v/>
      </c>
      <c r="F381" s="4">
        <f>ABS(C381-E381)</f>
        <v/>
      </c>
    </row>
    <row r="382">
      <c r="A382" s="4">
        <f>A381+1</f>
        <v/>
      </c>
      <c r="B382" s="4">
        <f>B381+$B$6</f>
        <v/>
      </c>
      <c r="C382" s="4">
        <f>C381+$B$6*D381</f>
        <v/>
      </c>
      <c r="D382" s="4">
        <f>$B$3*C382^(3/4)*(1-(C382/$B$4)^(1/4))</f>
        <v/>
      </c>
      <c r="E382" s="4">
        <f>( $B$8 + ($B$9-$B$8)*EXP(-$B$3*B382/(4*$B$8)) )^4</f>
        <v/>
      </c>
      <c r="F382" s="4">
        <f>ABS(C382-E382)</f>
        <v/>
      </c>
    </row>
    <row r="383">
      <c r="A383" s="4">
        <f>A382+1</f>
        <v/>
      </c>
      <c r="B383" s="4">
        <f>B382+$B$6</f>
        <v/>
      </c>
      <c r="C383" s="4">
        <f>C382+$B$6*D382</f>
        <v/>
      </c>
      <c r="D383" s="4">
        <f>$B$3*C383^(3/4)*(1-(C383/$B$4)^(1/4))</f>
        <v/>
      </c>
      <c r="E383" s="4">
        <f>( $B$8 + ($B$9-$B$8)*EXP(-$B$3*B383/(4*$B$8)) )^4</f>
        <v/>
      </c>
      <c r="F383" s="4">
        <f>ABS(C383-E383)</f>
        <v/>
      </c>
    </row>
    <row r="384">
      <c r="A384" s="4">
        <f>A383+1</f>
        <v/>
      </c>
      <c r="B384" s="4">
        <f>B383+$B$6</f>
        <v/>
      </c>
      <c r="C384" s="4">
        <f>C383+$B$6*D383</f>
        <v/>
      </c>
      <c r="D384" s="4">
        <f>$B$3*C384^(3/4)*(1-(C384/$B$4)^(1/4))</f>
        <v/>
      </c>
      <c r="E384" s="4">
        <f>( $B$8 + ($B$9-$B$8)*EXP(-$B$3*B384/(4*$B$8)) )^4</f>
        <v/>
      </c>
      <c r="F384" s="4">
        <f>ABS(C384-E384)</f>
        <v/>
      </c>
    </row>
    <row r="385">
      <c r="A385" s="4">
        <f>A384+1</f>
        <v/>
      </c>
      <c r="B385" s="4">
        <f>B384+$B$6</f>
        <v/>
      </c>
      <c r="C385" s="4">
        <f>C384+$B$6*D384</f>
        <v/>
      </c>
      <c r="D385" s="4">
        <f>$B$3*C385^(3/4)*(1-(C385/$B$4)^(1/4))</f>
        <v/>
      </c>
      <c r="E385" s="4">
        <f>( $B$8 + ($B$9-$B$8)*EXP(-$B$3*B385/(4*$B$8)) )^4</f>
        <v/>
      </c>
      <c r="F385" s="4">
        <f>ABS(C385-E385)</f>
        <v/>
      </c>
    </row>
    <row r="386">
      <c r="A386" s="4">
        <f>A385+1</f>
        <v/>
      </c>
      <c r="B386" s="4">
        <f>B385+$B$6</f>
        <v/>
      </c>
      <c r="C386" s="4">
        <f>C385+$B$6*D385</f>
        <v/>
      </c>
      <c r="D386" s="4">
        <f>$B$3*C386^(3/4)*(1-(C386/$B$4)^(1/4))</f>
        <v/>
      </c>
      <c r="E386" s="4">
        <f>( $B$8 + ($B$9-$B$8)*EXP(-$B$3*B386/(4*$B$8)) )^4</f>
        <v/>
      </c>
      <c r="F386" s="4">
        <f>ABS(C386-E386)</f>
        <v/>
      </c>
    </row>
    <row r="387">
      <c r="A387" s="4">
        <f>A386+1</f>
        <v/>
      </c>
      <c r="B387" s="4">
        <f>B386+$B$6</f>
        <v/>
      </c>
      <c r="C387" s="4">
        <f>C386+$B$6*D386</f>
        <v/>
      </c>
      <c r="D387" s="4">
        <f>$B$3*C387^(3/4)*(1-(C387/$B$4)^(1/4))</f>
        <v/>
      </c>
      <c r="E387" s="4">
        <f>( $B$8 + ($B$9-$B$8)*EXP(-$B$3*B387/(4*$B$8)) )^4</f>
        <v/>
      </c>
      <c r="F387" s="4">
        <f>ABS(C387-E387)</f>
        <v/>
      </c>
    </row>
    <row r="388">
      <c r="A388" s="4">
        <f>A387+1</f>
        <v/>
      </c>
      <c r="B388" s="4">
        <f>B387+$B$6</f>
        <v/>
      </c>
      <c r="C388" s="4">
        <f>C387+$B$6*D387</f>
        <v/>
      </c>
      <c r="D388" s="4">
        <f>$B$3*C388^(3/4)*(1-(C388/$B$4)^(1/4))</f>
        <v/>
      </c>
      <c r="E388" s="4">
        <f>( $B$8 + ($B$9-$B$8)*EXP(-$B$3*B388/(4*$B$8)) )^4</f>
        <v/>
      </c>
      <c r="F388" s="4">
        <f>ABS(C388-E388)</f>
        <v/>
      </c>
    </row>
    <row r="389">
      <c r="A389" s="4">
        <f>A388+1</f>
        <v/>
      </c>
      <c r="B389" s="4">
        <f>B388+$B$6</f>
        <v/>
      </c>
      <c r="C389" s="4">
        <f>C388+$B$6*D388</f>
        <v/>
      </c>
      <c r="D389" s="4">
        <f>$B$3*C389^(3/4)*(1-(C389/$B$4)^(1/4))</f>
        <v/>
      </c>
      <c r="E389" s="4">
        <f>( $B$8 + ($B$9-$B$8)*EXP(-$B$3*B389/(4*$B$8)) )^4</f>
        <v/>
      </c>
      <c r="F389" s="4">
        <f>ABS(C389-E389)</f>
        <v/>
      </c>
    </row>
    <row r="390">
      <c r="A390" s="4">
        <f>A389+1</f>
        <v/>
      </c>
      <c r="B390" s="4">
        <f>B389+$B$6</f>
        <v/>
      </c>
      <c r="C390" s="4">
        <f>C389+$B$6*D389</f>
        <v/>
      </c>
      <c r="D390" s="4">
        <f>$B$3*C390^(3/4)*(1-(C390/$B$4)^(1/4))</f>
        <v/>
      </c>
      <c r="E390" s="4">
        <f>( $B$8 + ($B$9-$B$8)*EXP(-$B$3*B390/(4*$B$8)) )^4</f>
        <v/>
      </c>
      <c r="F390" s="4">
        <f>ABS(C390-E390)</f>
        <v/>
      </c>
    </row>
    <row r="391">
      <c r="A391" s="4">
        <f>A390+1</f>
        <v/>
      </c>
      <c r="B391" s="4">
        <f>B390+$B$6</f>
        <v/>
      </c>
      <c r="C391" s="4">
        <f>C390+$B$6*D390</f>
        <v/>
      </c>
      <c r="D391" s="4">
        <f>$B$3*C391^(3/4)*(1-(C391/$B$4)^(1/4))</f>
        <v/>
      </c>
      <c r="E391" s="4">
        <f>( $B$8 + ($B$9-$B$8)*EXP(-$B$3*B391/(4*$B$8)) )^4</f>
        <v/>
      </c>
      <c r="F391" s="4">
        <f>ABS(C391-E391)</f>
        <v/>
      </c>
    </row>
    <row r="392">
      <c r="A392" s="4">
        <f>A391+1</f>
        <v/>
      </c>
      <c r="B392" s="4">
        <f>B391+$B$6</f>
        <v/>
      </c>
      <c r="C392" s="4">
        <f>C391+$B$6*D391</f>
        <v/>
      </c>
      <c r="D392" s="4">
        <f>$B$3*C392^(3/4)*(1-(C392/$B$4)^(1/4))</f>
        <v/>
      </c>
      <c r="E392" s="4">
        <f>( $B$8 + ($B$9-$B$8)*EXP(-$B$3*B392/(4*$B$8)) )^4</f>
        <v/>
      </c>
      <c r="F392" s="4">
        <f>ABS(C392-E392)</f>
        <v/>
      </c>
    </row>
    <row r="393">
      <c r="A393" s="4">
        <f>A392+1</f>
        <v/>
      </c>
      <c r="B393" s="4">
        <f>B392+$B$6</f>
        <v/>
      </c>
      <c r="C393" s="4">
        <f>C392+$B$6*D392</f>
        <v/>
      </c>
      <c r="D393" s="4">
        <f>$B$3*C393^(3/4)*(1-(C393/$B$4)^(1/4))</f>
        <v/>
      </c>
      <c r="E393" s="4">
        <f>( $B$8 + ($B$9-$B$8)*EXP(-$B$3*B393/(4*$B$8)) )^4</f>
        <v/>
      </c>
      <c r="F393" s="4">
        <f>ABS(C393-E393)</f>
        <v/>
      </c>
    </row>
    <row r="394">
      <c r="A394" s="4">
        <f>A393+1</f>
        <v/>
      </c>
      <c r="B394" s="4">
        <f>B393+$B$6</f>
        <v/>
      </c>
      <c r="C394" s="4">
        <f>C393+$B$6*D393</f>
        <v/>
      </c>
      <c r="D394" s="4">
        <f>$B$3*C394^(3/4)*(1-(C394/$B$4)^(1/4))</f>
        <v/>
      </c>
      <c r="E394" s="4">
        <f>( $B$8 + ($B$9-$B$8)*EXP(-$B$3*B394/(4*$B$8)) )^4</f>
        <v/>
      </c>
      <c r="F394" s="4">
        <f>ABS(C394-E394)</f>
        <v/>
      </c>
    </row>
    <row r="395">
      <c r="A395" s="4">
        <f>A394+1</f>
        <v/>
      </c>
      <c r="B395" s="4">
        <f>B394+$B$6</f>
        <v/>
      </c>
      <c r="C395" s="4">
        <f>C394+$B$6*D394</f>
        <v/>
      </c>
      <c r="D395" s="4">
        <f>$B$3*C395^(3/4)*(1-(C395/$B$4)^(1/4))</f>
        <v/>
      </c>
      <c r="E395" s="4">
        <f>( $B$8 + ($B$9-$B$8)*EXP(-$B$3*B395/(4*$B$8)) )^4</f>
        <v/>
      </c>
      <c r="F395" s="4">
        <f>ABS(C395-E395)</f>
        <v/>
      </c>
    </row>
    <row r="396">
      <c r="A396" s="4">
        <f>A395+1</f>
        <v/>
      </c>
      <c r="B396" s="4">
        <f>B395+$B$6</f>
        <v/>
      </c>
      <c r="C396" s="4">
        <f>C395+$B$6*D395</f>
        <v/>
      </c>
      <c r="D396" s="4">
        <f>$B$3*C396^(3/4)*(1-(C396/$B$4)^(1/4))</f>
        <v/>
      </c>
      <c r="E396" s="4">
        <f>( $B$8 + ($B$9-$B$8)*EXP(-$B$3*B396/(4*$B$8)) )^4</f>
        <v/>
      </c>
      <c r="F396" s="4">
        <f>ABS(C396-E396)</f>
        <v/>
      </c>
    </row>
    <row r="397">
      <c r="A397" s="4">
        <f>A396+1</f>
        <v/>
      </c>
      <c r="B397" s="4">
        <f>B396+$B$6</f>
        <v/>
      </c>
      <c r="C397" s="4">
        <f>C396+$B$6*D396</f>
        <v/>
      </c>
      <c r="D397" s="4">
        <f>$B$3*C397^(3/4)*(1-(C397/$B$4)^(1/4))</f>
        <v/>
      </c>
      <c r="E397" s="4">
        <f>( $B$8 + ($B$9-$B$8)*EXP(-$B$3*B397/(4*$B$8)) )^4</f>
        <v/>
      </c>
      <c r="F397" s="4">
        <f>ABS(C397-E397)</f>
        <v/>
      </c>
    </row>
    <row r="398">
      <c r="A398" s="4">
        <f>A397+1</f>
        <v/>
      </c>
      <c r="B398" s="4">
        <f>B397+$B$6</f>
        <v/>
      </c>
      <c r="C398" s="4">
        <f>C397+$B$6*D397</f>
        <v/>
      </c>
      <c r="D398" s="4">
        <f>$B$3*C398^(3/4)*(1-(C398/$B$4)^(1/4))</f>
        <v/>
      </c>
      <c r="E398" s="4">
        <f>( $B$8 + ($B$9-$B$8)*EXP(-$B$3*B398/(4*$B$8)) )^4</f>
        <v/>
      </c>
      <c r="F398" s="4">
        <f>ABS(C398-E398)</f>
        <v/>
      </c>
    </row>
    <row r="399">
      <c r="A399" s="4">
        <f>A398+1</f>
        <v/>
      </c>
      <c r="B399" s="4">
        <f>B398+$B$6</f>
        <v/>
      </c>
      <c r="C399" s="4">
        <f>C398+$B$6*D398</f>
        <v/>
      </c>
      <c r="D399" s="4">
        <f>$B$3*C399^(3/4)*(1-(C399/$B$4)^(1/4))</f>
        <v/>
      </c>
      <c r="E399" s="4">
        <f>( $B$8 + ($B$9-$B$8)*EXP(-$B$3*B399/(4*$B$8)) )^4</f>
        <v/>
      </c>
      <c r="F399" s="4">
        <f>ABS(C399-E399)</f>
        <v/>
      </c>
    </row>
    <row r="400">
      <c r="A400" s="4">
        <f>A399+1</f>
        <v/>
      </c>
      <c r="B400" s="4">
        <f>B399+$B$6</f>
        <v/>
      </c>
      <c r="C400" s="4">
        <f>C399+$B$6*D399</f>
        <v/>
      </c>
      <c r="D400" s="4">
        <f>$B$3*C400^(3/4)*(1-(C400/$B$4)^(1/4))</f>
        <v/>
      </c>
      <c r="E400" s="4">
        <f>( $B$8 + ($B$9-$B$8)*EXP(-$B$3*B400/(4*$B$8)) )^4</f>
        <v/>
      </c>
      <c r="F400" s="4">
        <f>ABS(C400-E400)</f>
        <v/>
      </c>
    </row>
    <row r="401">
      <c r="A401" s="4">
        <f>A400+1</f>
        <v/>
      </c>
      <c r="B401" s="4">
        <f>B400+$B$6</f>
        <v/>
      </c>
      <c r="C401" s="4">
        <f>C400+$B$6*D400</f>
        <v/>
      </c>
      <c r="D401" s="4">
        <f>$B$3*C401^(3/4)*(1-(C401/$B$4)^(1/4))</f>
        <v/>
      </c>
      <c r="E401" s="4">
        <f>( $B$8 + ($B$9-$B$8)*EXP(-$B$3*B401/(4*$B$8)) )^4</f>
        <v/>
      </c>
      <c r="F401" s="4">
        <f>ABS(C401-E401)</f>
        <v/>
      </c>
    </row>
    <row r="402">
      <c r="A402" s="4">
        <f>A401+1</f>
        <v/>
      </c>
      <c r="B402" s="4">
        <f>B401+$B$6</f>
        <v/>
      </c>
      <c r="C402" s="4">
        <f>C401+$B$6*D401</f>
        <v/>
      </c>
      <c r="D402" s="4">
        <f>$B$3*C402^(3/4)*(1-(C402/$B$4)^(1/4))</f>
        <v/>
      </c>
      <c r="E402" s="4">
        <f>( $B$8 + ($B$9-$B$8)*EXP(-$B$3*B402/(4*$B$8)) )^4</f>
        <v/>
      </c>
      <c r="F402" s="4">
        <f>ABS(C402-E402)</f>
        <v/>
      </c>
    </row>
    <row r="403">
      <c r="A403" s="4">
        <f>A402+1</f>
        <v/>
      </c>
      <c r="B403" s="4">
        <f>B402+$B$6</f>
        <v/>
      </c>
      <c r="C403" s="4">
        <f>C402+$B$6*D402</f>
        <v/>
      </c>
      <c r="D403" s="4">
        <f>$B$3*C403^(3/4)*(1-(C403/$B$4)^(1/4))</f>
        <v/>
      </c>
      <c r="E403" s="4">
        <f>( $B$8 + ($B$9-$B$8)*EXP(-$B$3*B403/(4*$B$8)) )^4</f>
        <v/>
      </c>
      <c r="F403" s="4">
        <f>ABS(C403-E403)</f>
        <v/>
      </c>
    </row>
    <row r="404">
      <c r="A404" s="4">
        <f>A403+1</f>
        <v/>
      </c>
      <c r="B404" s="4">
        <f>B403+$B$6</f>
        <v/>
      </c>
      <c r="C404" s="4">
        <f>C403+$B$6*D403</f>
        <v/>
      </c>
      <c r="D404" s="4">
        <f>$B$3*C404^(3/4)*(1-(C404/$B$4)^(1/4))</f>
        <v/>
      </c>
      <c r="E404" s="4">
        <f>( $B$8 + ($B$9-$B$8)*EXP(-$B$3*B404/(4*$B$8)) )^4</f>
        <v/>
      </c>
      <c r="F404" s="4">
        <f>ABS(C404-E404)</f>
        <v/>
      </c>
    </row>
    <row r="405">
      <c r="A405" s="4">
        <f>A404+1</f>
        <v/>
      </c>
      <c r="B405" s="4">
        <f>B404+$B$6</f>
        <v/>
      </c>
      <c r="C405" s="4">
        <f>C404+$B$6*D404</f>
        <v/>
      </c>
      <c r="D405" s="4">
        <f>$B$3*C405^(3/4)*(1-(C405/$B$4)^(1/4))</f>
        <v/>
      </c>
      <c r="E405" s="4">
        <f>( $B$8 + ($B$9-$B$8)*EXP(-$B$3*B405/(4*$B$8)) )^4</f>
        <v/>
      </c>
      <c r="F405" s="4">
        <f>ABS(C405-E405)</f>
        <v/>
      </c>
    </row>
    <row r="406">
      <c r="A406" s="4">
        <f>A405+1</f>
        <v/>
      </c>
      <c r="B406" s="4">
        <f>B405+$B$6</f>
        <v/>
      </c>
      <c r="C406" s="4">
        <f>C405+$B$6*D405</f>
        <v/>
      </c>
      <c r="D406" s="4">
        <f>$B$3*C406^(3/4)*(1-(C406/$B$4)^(1/4))</f>
        <v/>
      </c>
      <c r="E406" s="4">
        <f>( $B$8 + ($B$9-$B$8)*EXP(-$B$3*B406/(4*$B$8)) )^4</f>
        <v/>
      </c>
      <c r="F406" s="4">
        <f>ABS(C406-E406)</f>
        <v/>
      </c>
    </row>
    <row r="407">
      <c r="A407" s="4">
        <f>A406+1</f>
        <v/>
      </c>
      <c r="B407" s="4">
        <f>B406+$B$6</f>
        <v/>
      </c>
      <c r="C407" s="4">
        <f>C406+$B$6*D406</f>
        <v/>
      </c>
      <c r="D407" s="4">
        <f>$B$3*C407^(3/4)*(1-(C407/$B$4)^(1/4))</f>
        <v/>
      </c>
      <c r="E407" s="4">
        <f>( $B$8 + ($B$9-$B$8)*EXP(-$B$3*B407/(4*$B$8)) )^4</f>
        <v/>
      </c>
      <c r="F407" s="4">
        <f>ABS(C407-E407)</f>
        <v/>
      </c>
    </row>
    <row r="408">
      <c r="A408" s="4">
        <f>A407+1</f>
        <v/>
      </c>
      <c r="B408" s="4">
        <f>B407+$B$6</f>
        <v/>
      </c>
      <c r="C408" s="4">
        <f>C407+$B$6*D407</f>
        <v/>
      </c>
      <c r="D408" s="4">
        <f>$B$3*C408^(3/4)*(1-(C408/$B$4)^(1/4))</f>
        <v/>
      </c>
      <c r="E408" s="4">
        <f>( $B$8 + ($B$9-$B$8)*EXP(-$B$3*B408/(4*$B$8)) )^4</f>
        <v/>
      </c>
      <c r="F408" s="4">
        <f>ABS(C408-E408)</f>
        <v/>
      </c>
    </row>
    <row r="409">
      <c r="A409" s="4">
        <f>A408+1</f>
        <v/>
      </c>
      <c r="B409" s="4">
        <f>B408+$B$6</f>
        <v/>
      </c>
      <c r="C409" s="4">
        <f>C408+$B$6*D408</f>
        <v/>
      </c>
      <c r="D409" s="4">
        <f>$B$3*C409^(3/4)*(1-(C409/$B$4)^(1/4))</f>
        <v/>
      </c>
      <c r="E409" s="4">
        <f>( $B$8 + ($B$9-$B$8)*EXP(-$B$3*B409/(4*$B$8)) )^4</f>
        <v/>
      </c>
      <c r="F409" s="4">
        <f>ABS(C409-E409)</f>
        <v/>
      </c>
    </row>
    <row r="410">
      <c r="A410" s="4">
        <f>A409+1</f>
        <v/>
      </c>
      <c r="B410" s="4">
        <f>B409+$B$6</f>
        <v/>
      </c>
      <c r="C410" s="4">
        <f>C409+$B$6*D409</f>
        <v/>
      </c>
      <c r="D410" s="4">
        <f>$B$3*C410^(3/4)*(1-(C410/$B$4)^(1/4))</f>
        <v/>
      </c>
      <c r="E410" s="4">
        <f>( $B$8 + ($B$9-$B$8)*EXP(-$B$3*B410/(4*$B$8)) )^4</f>
        <v/>
      </c>
      <c r="F410" s="4">
        <f>ABS(C410-E410)</f>
        <v/>
      </c>
    </row>
    <row r="411">
      <c r="A411" s="4">
        <f>A410+1</f>
        <v/>
      </c>
      <c r="B411" s="4">
        <f>B410+$B$6</f>
        <v/>
      </c>
      <c r="C411" s="4">
        <f>C410+$B$6*D410</f>
        <v/>
      </c>
      <c r="D411" s="4">
        <f>$B$3*C411^(3/4)*(1-(C411/$B$4)^(1/4))</f>
        <v/>
      </c>
      <c r="E411" s="4">
        <f>( $B$8 + ($B$9-$B$8)*EXP(-$B$3*B411/(4*$B$8)) )^4</f>
        <v/>
      </c>
      <c r="F411" s="4">
        <f>ABS(C411-E411)</f>
        <v/>
      </c>
    </row>
    <row r="412">
      <c r="A412" s="4">
        <f>A411+1</f>
        <v/>
      </c>
      <c r="B412" s="4">
        <f>B411+$B$6</f>
        <v/>
      </c>
      <c r="C412" s="4">
        <f>C411+$B$6*D411</f>
        <v/>
      </c>
      <c r="D412" s="4">
        <f>$B$3*C412^(3/4)*(1-(C412/$B$4)^(1/4))</f>
        <v/>
      </c>
      <c r="E412" s="4">
        <f>( $B$8 + ($B$9-$B$8)*EXP(-$B$3*B412/(4*$B$8)) )^4</f>
        <v/>
      </c>
      <c r="F412" s="4">
        <f>ABS(C412-E412)</f>
        <v/>
      </c>
    </row>
    <row r="413">
      <c r="A413" s="4" t="n"/>
      <c r="B413" s="4" t="n"/>
      <c r="C413" s="4" t="n"/>
      <c r="D413" s="4" t="n"/>
      <c r="E413" s="4" t="n"/>
      <c r="F413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  <col width="10" customWidth="1" min="10" max="10"/>
    <col width="16" customWidth="1" min="11" max="11"/>
  </cols>
  <sheetData>
    <row r="1">
      <c r="A1" s="1" t="inlineStr">
        <is>
          <t>Crecimiento de un Organismo - Método de Heun</t>
        </is>
      </c>
    </row>
    <row r="3">
      <c r="A3" s="2" t="inlineStr">
        <is>
          <t>k (kg^(1/4)/día)</t>
        </is>
      </c>
      <c r="B3" t="n">
        <v>0.3</v>
      </c>
    </row>
    <row r="4">
      <c r="A4" s="2" t="inlineStr">
        <is>
          <t>m_max (kg)</t>
        </is>
      </c>
      <c r="B4" t="n">
        <v>300</v>
      </c>
    </row>
    <row r="5">
      <c r="A5" s="2" t="inlineStr">
        <is>
          <t>m(0) (kg)</t>
        </is>
      </c>
      <c r="B5" t="n">
        <v>1</v>
      </c>
    </row>
    <row r="6">
      <c r="A6" s="2" t="inlineStr">
        <is>
          <t>Paso h (días)</t>
        </is>
      </c>
      <c r="B6" t="n">
        <v>1</v>
      </c>
    </row>
    <row r="7">
      <c r="A7" s="2" t="inlineStr">
        <is>
          <t>t_final (días)</t>
        </is>
      </c>
      <c r="B7" t="n">
        <v>400</v>
      </c>
    </row>
    <row r="8">
      <c r="A8" s="2" t="inlineStr">
        <is>
          <t>M = m_max^(1/4)</t>
        </is>
      </c>
      <c r="B8">
        <f>B4^(1/4)</f>
        <v/>
      </c>
    </row>
    <row r="9">
      <c r="A9" s="2" t="inlineStr">
        <is>
          <t>y0 = m(0)^(1/4)</t>
        </is>
      </c>
      <c r="B9">
        <f>B5^(1/4)</f>
        <v/>
      </c>
    </row>
    <row r="11">
      <c r="A11" s="5" t="inlineStr">
        <is>
          <t>n</t>
        </is>
      </c>
      <c r="B11" s="5" t="inlineStr">
        <is>
          <t>t_n (días)</t>
        </is>
      </c>
      <c r="C11" s="5" t="inlineStr">
        <is>
          <t>m_n (Heun) [kg]</t>
        </is>
      </c>
      <c r="D11" s="5" t="inlineStr">
        <is>
          <t>k1 = f(t_n,m_n)</t>
        </is>
      </c>
      <c r="E11" s="5" t="inlineStr">
        <is>
          <t>m_pred = m_n + h*k1</t>
        </is>
      </c>
      <c r="F11" s="5" t="inlineStr">
        <is>
          <t>k2 = f(t_{n+1}, m_pred)</t>
        </is>
      </c>
      <c r="G11" s="5" t="inlineStr">
        <is>
          <t>m_exact(t_n) [kg]</t>
        </is>
      </c>
      <c r="H11" s="5" t="inlineStr">
        <is>
          <t>|Error|</t>
        </is>
      </c>
    </row>
    <row r="12">
      <c r="A12" s="4" t="n">
        <v>0</v>
      </c>
      <c r="B12" s="4" t="n">
        <v>0</v>
      </c>
      <c r="C12" s="4">
        <f>B5</f>
        <v/>
      </c>
      <c r="D12" s="4">
        <f>$B$3*C12^(3/4)*(1-(C12/$B$4)^(1/4))</f>
        <v/>
      </c>
      <c r="E12" s="4">
        <f>C12+$B$6*D12</f>
        <v/>
      </c>
      <c r="F12" s="4">
        <f>$B$3*E12^(3/4)*(1-(E12/$B$4)^(1/4))</f>
        <v/>
      </c>
      <c r="G12" s="4">
        <f>( $B$8 + ($B$9-$B$8)*EXP(-$B$3*B12/(4*$B$8)) )^4</f>
        <v/>
      </c>
      <c r="H12" s="4">
        <f>ABS(C12-G12)</f>
        <v/>
      </c>
    </row>
    <row r="13">
      <c r="A13" s="4">
        <f>A12+1</f>
        <v/>
      </c>
      <c r="B13" s="4">
        <f>B12+$B$6</f>
        <v/>
      </c>
      <c r="C13" s="4">
        <f>C12+($B$6/2)*(D12+F12)</f>
        <v/>
      </c>
      <c r="D13" s="4">
        <f>$B$3*C13^(3/4)*(1-(C13/$B$4)^(1/4))</f>
        <v/>
      </c>
      <c r="E13" s="4">
        <f>C13+$B$6*D13</f>
        <v/>
      </c>
      <c r="F13" s="4">
        <f>$B$3*E13^(3/4)*(1-(E13/$B$4)^(1/4))</f>
        <v/>
      </c>
      <c r="G13" s="4">
        <f>( $B$8 + ($B$9-$B$8)*EXP(-$B$3*B13/(4*$B$8)) )^4</f>
        <v/>
      </c>
      <c r="H13" s="4">
        <f>ABS(C13-G13)</f>
        <v/>
      </c>
    </row>
    <row r="14">
      <c r="A14" s="4">
        <f>A13+1</f>
        <v/>
      </c>
      <c r="B14" s="4">
        <f>B13+$B$6</f>
        <v/>
      </c>
      <c r="C14" s="4">
        <f>C13+($B$6/2)*(D13+F13)</f>
        <v/>
      </c>
      <c r="D14" s="4">
        <f>$B$3*C14^(3/4)*(1-(C14/$B$4)^(1/4))</f>
        <v/>
      </c>
      <c r="E14" s="4">
        <f>C14+$B$6*D14</f>
        <v/>
      </c>
      <c r="F14" s="4">
        <f>$B$3*E14^(3/4)*(1-(E14/$B$4)^(1/4))</f>
        <v/>
      </c>
      <c r="G14" s="4">
        <f>( $B$8 + ($B$9-$B$8)*EXP(-$B$3*B14/(4*$B$8)) )^4</f>
        <v/>
      </c>
      <c r="H14" s="4">
        <f>ABS(C14-G14)</f>
        <v/>
      </c>
    </row>
    <row r="15">
      <c r="A15" s="4">
        <f>A14+1</f>
        <v/>
      </c>
      <c r="B15" s="4">
        <f>B14+$B$6</f>
        <v/>
      </c>
      <c r="C15" s="4">
        <f>C14+($B$6/2)*(D14+F14)</f>
        <v/>
      </c>
      <c r="D15" s="4">
        <f>$B$3*C15^(3/4)*(1-(C15/$B$4)^(1/4))</f>
        <v/>
      </c>
      <c r="E15" s="4">
        <f>C15+$B$6*D15</f>
        <v/>
      </c>
      <c r="F15" s="4">
        <f>$B$3*E15^(3/4)*(1-(E15/$B$4)^(1/4))</f>
        <v/>
      </c>
      <c r="G15" s="4">
        <f>( $B$8 + ($B$9-$B$8)*EXP(-$B$3*B15/(4*$B$8)) )^4</f>
        <v/>
      </c>
      <c r="H15" s="4">
        <f>ABS(C15-G15)</f>
        <v/>
      </c>
    </row>
    <row r="16">
      <c r="A16" s="4">
        <f>A15+1</f>
        <v/>
      </c>
      <c r="B16" s="4">
        <f>B15+$B$6</f>
        <v/>
      </c>
      <c r="C16" s="4">
        <f>C15+($B$6/2)*(D15+F15)</f>
        <v/>
      </c>
      <c r="D16" s="4">
        <f>$B$3*C16^(3/4)*(1-(C16/$B$4)^(1/4))</f>
        <v/>
      </c>
      <c r="E16" s="4">
        <f>C16+$B$6*D16</f>
        <v/>
      </c>
      <c r="F16" s="4">
        <f>$B$3*E16^(3/4)*(1-(E16/$B$4)^(1/4))</f>
        <v/>
      </c>
      <c r="G16" s="4">
        <f>( $B$8 + ($B$9-$B$8)*EXP(-$B$3*B16/(4*$B$8)) )^4</f>
        <v/>
      </c>
      <c r="H16" s="4">
        <f>ABS(C16-G16)</f>
        <v/>
      </c>
    </row>
    <row r="17">
      <c r="A17" s="4">
        <f>A16+1</f>
        <v/>
      </c>
      <c r="B17" s="4">
        <f>B16+$B$6</f>
        <v/>
      </c>
      <c r="C17" s="4">
        <f>C16+($B$6/2)*(D16+F16)</f>
        <v/>
      </c>
      <c r="D17" s="4">
        <f>$B$3*C17^(3/4)*(1-(C17/$B$4)^(1/4))</f>
        <v/>
      </c>
      <c r="E17" s="4">
        <f>C17+$B$6*D17</f>
        <v/>
      </c>
      <c r="F17" s="4">
        <f>$B$3*E17^(3/4)*(1-(E17/$B$4)^(1/4))</f>
        <v/>
      </c>
      <c r="G17" s="4">
        <f>( $B$8 + ($B$9-$B$8)*EXP(-$B$3*B17/(4*$B$8)) )^4</f>
        <v/>
      </c>
      <c r="H17" s="4">
        <f>ABS(C17-G17)</f>
        <v/>
      </c>
    </row>
    <row r="18">
      <c r="A18" s="4">
        <f>A17+1</f>
        <v/>
      </c>
      <c r="B18" s="4">
        <f>B17+$B$6</f>
        <v/>
      </c>
      <c r="C18" s="4">
        <f>C17+($B$6/2)*(D17+F17)</f>
        <v/>
      </c>
      <c r="D18" s="4">
        <f>$B$3*C18^(3/4)*(1-(C18/$B$4)^(1/4))</f>
        <v/>
      </c>
      <c r="E18" s="4">
        <f>C18+$B$6*D18</f>
        <v/>
      </c>
      <c r="F18" s="4">
        <f>$B$3*E18^(3/4)*(1-(E18/$B$4)^(1/4))</f>
        <v/>
      </c>
      <c r="G18" s="4">
        <f>( $B$8 + ($B$9-$B$8)*EXP(-$B$3*B18/(4*$B$8)) )^4</f>
        <v/>
      </c>
      <c r="H18" s="4">
        <f>ABS(C18-G18)</f>
        <v/>
      </c>
    </row>
    <row r="19">
      <c r="A19" s="4">
        <f>A18+1</f>
        <v/>
      </c>
      <c r="B19" s="4">
        <f>B18+$B$6</f>
        <v/>
      </c>
      <c r="C19" s="4">
        <f>C18+($B$6/2)*(D18+F18)</f>
        <v/>
      </c>
      <c r="D19" s="4">
        <f>$B$3*C19^(3/4)*(1-(C19/$B$4)^(1/4))</f>
        <v/>
      </c>
      <c r="E19" s="4">
        <f>C19+$B$6*D19</f>
        <v/>
      </c>
      <c r="F19" s="4">
        <f>$B$3*E19^(3/4)*(1-(E19/$B$4)^(1/4))</f>
        <v/>
      </c>
      <c r="G19" s="4">
        <f>( $B$8 + ($B$9-$B$8)*EXP(-$B$3*B19/(4*$B$8)) )^4</f>
        <v/>
      </c>
      <c r="H19" s="4">
        <f>ABS(C19-G19)</f>
        <v/>
      </c>
    </row>
    <row r="20">
      <c r="A20" s="4">
        <f>A19+1</f>
        <v/>
      </c>
      <c r="B20" s="4">
        <f>B19+$B$6</f>
        <v/>
      </c>
      <c r="C20" s="4">
        <f>C19+($B$6/2)*(D19+F19)</f>
        <v/>
      </c>
      <c r="D20" s="4">
        <f>$B$3*C20^(3/4)*(1-(C20/$B$4)^(1/4))</f>
        <v/>
      </c>
      <c r="E20" s="4">
        <f>C20+$B$6*D20</f>
        <v/>
      </c>
      <c r="F20" s="4">
        <f>$B$3*E20^(3/4)*(1-(E20/$B$4)^(1/4))</f>
        <v/>
      </c>
      <c r="G20" s="4">
        <f>( $B$8 + ($B$9-$B$8)*EXP(-$B$3*B20/(4*$B$8)) )^4</f>
        <v/>
      </c>
      <c r="H20" s="4">
        <f>ABS(C20-G20)</f>
        <v/>
      </c>
    </row>
    <row r="21">
      <c r="A21" s="4">
        <f>A20+1</f>
        <v/>
      </c>
      <c r="B21" s="4">
        <f>B20+$B$6</f>
        <v/>
      </c>
      <c r="C21" s="4">
        <f>C20+($B$6/2)*(D20+F20)</f>
        <v/>
      </c>
      <c r="D21" s="4">
        <f>$B$3*C21^(3/4)*(1-(C21/$B$4)^(1/4))</f>
        <v/>
      </c>
      <c r="E21" s="4">
        <f>C21+$B$6*D21</f>
        <v/>
      </c>
      <c r="F21" s="4">
        <f>$B$3*E21^(3/4)*(1-(E21/$B$4)^(1/4))</f>
        <v/>
      </c>
      <c r="G21" s="4">
        <f>( $B$8 + ($B$9-$B$8)*EXP(-$B$3*B21/(4*$B$8)) )^4</f>
        <v/>
      </c>
      <c r="H21" s="4">
        <f>ABS(C21-G21)</f>
        <v/>
      </c>
    </row>
    <row r="22">
      <c r="A22" s="4">
        <f>A21+1</f>
        <v/>
      </c>
      <c r="B22" s="4">
        <f>B21+$B$6</f>
        <v/>
      </c>
      <c r="C22" s="4">
        <f>C21+($B$6/2)*(D21+F21)</f>
        <v/>
      </c>
      <c r="D22" s="4">
        <f>$B$3*C22^(3/4)*(1-(C22/$B$4)^(1/4))</f>
        <v/>
      </c>
      <c r="E22" s="4">
        <f>C22+$B$6*D22</f>
        <v/>
      </c>
      <c r="F22" s="4">
        <f>$B$3*E22^(3/4)*(1-(E22/$B$4)^(1/4))</f>
        <v/>
      </c>
      <c r="G22" s="4">
        <f>( $B$8 + ($B$9-$B$8)*EXP(-$B$3*B22/(4*$B$8)) )^4</f>
        <v/>
      </c>
      <c r="H22" s="4">
        <f>ABS(C22-G22)</f>
        <v/>
      </c>
    </row>
    <row r="23">
      <c r="A23" s="4">
        <f>A22+1</f>
        <v/>
      </c>
      <c r="B23" s="4">
        <f>B22+$B$6</f>
        <v/>
      </c>
      <c r="C23" s="4">
        <f>C22+($B$6/2)*(D22+F22)</f>
        <v/>
      </c>
      <c r="D23" s="4">
        <f>$B$3*C23^(3/4)*(1-(C23/$B$4)^(1/4))</f>
        <v/>
      </c>
      <c r="E23" s="4">
        <f>C23+$B$6*D23</f>
        <v/>
      </c>
      <c r="F23" s="4">
        <f>$B$3*E23^(3/4)*(1-(E23/$B$4)^(1/4))</f>
        <v/>
      </c>
      <c r="G23" s="4">
        <f>( $B$8 + ($B$9-$B$8)*EXP(-$B$3*B23/(4*$B$8)) )^4</f>
        <v/>
      </c>
      <c r="H23" s="4">
        <f>ABS(C23-G23)</f>
        <v/>
      </c>
    </row>
    <row r="24">
      <c r="A24" s="4">
        <f>A23+1</f>
        <v/>
      </c>
      <c r="B24" s="4">
        <f>B23+$B$6</f>
        <v/>
      </c>
      <c r="C24" s="4">
        <f>C23+($B$6/2)*(D23+F23)</f>
        <v/>
      </c>
      <c r="D24" s="4">
        <f>$B$3*C24^(3/4)*(1-(C24/$B$4)^(1/4))</f>
        <v/>
      </c>
      <c r="E24" s="4">
        <f>C24+$B$6*D24</f>
        <v/>
      </c>
      <c r="F24" s="4">
        <f>$B$3*E24^(3/4)*(1-(E24/$B$4)^(1/4))</f>
        <v/>
      </c>
      <c r="G24" s="4">
        <f>( $B$8 + ($B$9-$B$8)*EXP(-$B$3*B24/(4*$B$8)) )^4</f>
        <v/>
      </c>
      <c r="H24" s="4">
        <f>ABS(C24-G24)</f>
        <v/>
      </c>
    </row>
    <row r="25">
      <c r="A25" s="4">
        <f>A24+1</f>
        <v/>
      </c>
      <c r="B25" s="4">
        <f>B24+$B$6</f>
        <v/>
      </c>
      <c r="C25" s="4">
        <f>C24+($B$6/2)*(D24+F24)</f>
        <v/>
      </c>
      <c r="D25" s="4">
        <f>$B$3*C25^(3/4)*(1-(C25/$B$4)^(1/4))</f>
        <v/>
      </c>
      <c r="E25" s="4">
        <f>C25+$B$6*D25</f>
        <v/>
      </c>
      <c r="F25" s="4">
        <f>$B$3*E25^(3/4)*(1-(E25/$B$4)^(1/4))</f>
        <v/>
      </c>
      <c r="G25" s="4">
        <f>( $B$8 + ($B$9-$B$8)*EXP(-$B$3*B25/(4*$B$8)) )^4</f>
        <v/>
      </c>
      <c r="H25" s="4">
        <f>ABS(C25-G25)</f>
        <v/>
      </c>
    </row>
    <row r="26">
      <c r="A26" s="4">
        <f>A25+1</f>
        <v/>
      </c>
      <c r="B26" s="4">
        <f>B25+$B$6</f>
        <v/>
      </c>
      <c r="C26" s="4">
        <f>C25+($B$6/2)*(D25+F25)</f>
        <v/>
      </c>
      <c r="D26" s="4">
        <f>$B$3*C26^(3/4)*(1-(C26/$B$4)^(1/4))</f>
        <v/>
      </c>
      <c r="E26" s="4">
        <f>C26+$B$6*D26</f>
        <v/>
      </c>
      <c r="F26" s="4">
        <f>$B$3*E26^(3/4)*(1-(E26/$B$4)^(1/4))</f>
        <v/>
      </c>
      <c r="G26" s="4">
        <f>( $B$8 + ($B$9-$B$8)*EXP(-$B$3*B26/(4*$B$8)) )^4</f>
        <v/>
      </c>
      <c r="H26" s="4">
        <f>ABS(C26-G26)</f>
        <v/>
      </c>
    </row>
    <row r="27">
      <c r="A27" s="4">
        <f>A26+1</f>
        <v/>
      </c>
      <c r="B27" s="4">
        <f>B26+$B$6</f>
        <v/>
      </c>
      <c r="C27" s="4">
        <f>C26+($B$6/2)*(D26+F26)</f>
        <v/>
      </c>
      <c r="D27" s="4">
        <f>$B$3*C27^(3/4)*(1-(C27/$B$4)^(1/4))</f>
        <v/>
      </c>
      <c r="E27" s="4">
        <f>C27+$B$6*D27</f>
        <v/>
      </c>
      <c r="F27" s="4">
        <f>$B$3*E27^(3/4)*(1-(E27/$B$4)^(1/4))</f>
        <v/>
      </c>
      <c r="G27" s="4">
        <f>( $B$8 + ($B$9-$B$8)*EXP(-$B$3*B27/(4*$B$8)) )^4</f>
        <v/>
      </c>
      <c r="H27" s="4">
        <f>ABS(C27-G27)</f>
        <v/>
      </c>
    </row>
    <row r="28">
      <c r="A28" s="4">
        <f>A27+1</f>
        <v/>
      </c>
      <c r="B28" s="4">
        <f>B27+$B$6</f>
        <v/>
      </c>
      <c r="C28" s="4">
        <f>C27+($B$6/2)*(D27+F27)</f>
        <v/>
      </c>
      <c r="D28" s="4">
        <f>$B$3*C28^(3/4)*(1-(C28/$B$4)^(1/4))</f>
        <v/>
      </c>
      <c r="E28" s="4">
        <f>C28+$B$6*D28</f>
        <v/>
      </c>
      <c r="F28" s="4">
        <f>$B$3*E28^(3/4)*(1-(E28/$B$4)^(1/4))</f>
        <v/>
      </c>
      <c r="G28" s="4">
        <f>( $B$8 + ($B$9-$B$8)*EXP(-$B$3*B28/(4*$B$8)) )^4</f>
        <v/>
      </c>
      <c r="H28" s="4">
        <f>ABS(C28-G28)</f>
        <v/>
      </c>
    </row>
    <row r="29">
      <c r="A29" s="4">
        <f>A28+1</f>
        <v/>
      </c>
      <c r="B29" s="4">
        <f>B28+$B$6</f>
        <v/>
      </c>
      <c r="C29" s="4">
        <f>C28+($B$6/2)*(D28+F28)</f>
        <v/>
      </c>
      <c r="D29" s="4">
        <f>$B$3*C29^(3/4)*(1-(C29/$B$4)^(1/4))</f>
        <v/>
      </c>
      <c r="E29" s="4">
        <f>C29+$B$6*D29</f>
        <v/>
      </c>
      <c r="F29" s="4">
        <f>$B$3*E29^(3/4)*(1-(E29/$B$4)^(1/4))</f>
        <v/>
      </c>
      <c r="G29" s="4">
        <f>( $B$8 + ($B$9-$B$8)*EXP(-$B$3*B29/(4*$B$8)) )^4</f>
        <v/>
      </c>
      <c r="H29" s="4">
        <f>ABS(C29-G29)</f>
        <v/>
      </c>
    </row>
    <row r="30">
      <c r="A30" s="4">
        <f>A29+1</f>
        <v/>
      </c>
      <c r="B30" s="4">
        <f>B29+$B$6</f>
        <v/>
      </c>
      <c r="C30" s="4">
        <f>C29+($B$6/2)*(D29+F29)</f>
        <v/>
      </c>
      <c r="D30" s="4">
        <f>$B$3*C30^(3/4)*(1-(C30/$B$4)^(1/4))</f>
        <v/>
      </c>
      <c r="E30" s="4">
        <f>C30+$B$6*D30</f>
        <v/>
      </c>
      <c r="F30" s="4">
        <f>$B$3*E30^(3/4)*(1-(E30/$B$4)^(1/4))</f>
        <v/>
      </c>
      <c r="G30" s="4">
        <f>( $B$8 + ($B$9-$B$8)*EXP(-$B$3*B30/(4*$B$8)) )^4</f>
        <v/>
      </c>
      <c r="H30" s="4">
        <f>ABS(C30-G30)</f>
        <v/>
      </c>
    </row>
    <row r="31">
      <c r="A31" s="4">
        <f>A30+1</f>
        <v/>
      </c>
      <c r="B31" s="4">
        <f>B30+$B$6</f>
        <v/>
      </c>
      <c r="C31" s="4">
        <f>C30+($B$6/2)*(D30+F30)</f>
        <v/>
      </c>
      <c r="D31" s="4">
        <f>$B$3*C31^(3/4)*(1-(C31/$B$4)^(1/4))</f>
        <v/>
      </c>
      <c r="E31" s="4">
        <f>C31+$B$6*D31</f>
        <v/>
      </c>
      <c r="F31" s="4">
        <f>$B$3*E31^(3/4)*(1-(E31/$B$4)^(1/4))</f>
        <v/>
      </c>
      <c r="G31" s="4">
        <f>( $B$8 + ($B$9-$B$8)*EXP(-$B$3*B31/(4*$B$8)) )^4</f>
        <v/>
      </c>
      <c r="H31" s="4">
        <f>ABS(C31-G31)</f>
        <v/>
      </c>
    </row>
    <row r="32">
      <c r="A32" s="4">
        <f>A31+1</f>
        <v/>
      </c>
      <c r="B32" s="4">
        <f>B31+$B$6</f>
        <v/>
      </c>
      <c r="C32" s="4">
        <f>C31+($B$6/2)*(D31+F31)</f>
        <v/>
      </c>
      <c r="D32" s="4">
        <f>$B$3*C32^(3/4)*(1-(C32/$B$4)^(1/4))</f>
        <v/>
      </c>
      <c r="E32" s="4">
        <f>C32+$B$6*D32</f>
        <v/>
      </c>
      <c r="F32" s="4">
        <f>$B$3*E32^(3/4)*(1-(E32/$B$4)^(1/4))</f>
        <v/>
      </c>
      <c r="G32" s="4">
        <f>( $B$8 + ($B$9-$B$8)*EXP(-$B$3*B32/(4*$B$8)) )^4</f>
        <v/>
      </c>
      <c r="H32" s="4">
        <f>ABS(C32-G32)</f>
        <v/>
      </c>
    </row>
    <row r="33">
      <c r="A33" s="4">
        <f>A32+1</f>
        <v/>
      </c>
      <c r="B33" s="4">
        <f>B32+$B$6</f>
        <v/>
      </c>
      <c r="C33" s="4">
        <f>C32+($B$6/2)*(D32+F32)</f>
        <v/>
      </c>
      <c r="D33" s="4">
        <f>$B$3*C33^(3/4)*(1-(C33/$B$4)^(1/4))</f>
        <v/>
      </c>
      <c r="E33" s="4">
        <f>C33+$B$6*D33</f>
        <v/>
      </c>
      <c r="F33" s="4">
        <f>$B$3*E33^(3/4)*(1-(E33/$B$4)^(1/4))</f>
        <v/>
      </c>
      <c r="G33" s="4">
        <f>( $B$8 + ($B$9-$B$8)*EXP(-$B$3*B33/(4*$B$8)) )^4</f>
        <v/>
      </c>
      <c r="H33" s="4">
        <f>ABS(C33-G33)</f>
        <v/>
      </c>
    </row>
    <row r="34">
      <c r="A34" s="4">
        <f>A33+1</f>
        <v/>
      </c>
      <c r="B34" s="4">
        <f>B33+$B$6</f>
        <v/>
      </c>
      <c r="C34" s="4">
        <f>C33+($B$6/2)*(D33+F33)</f>
        <v/>
      </c>
      <c r="D34" s="4">
        <f>$B$3*C34^(3/4)*(1-(C34/$B$4)^(1/4))</f>
        <v/>
      </c>
      <c r="E34" s="4">
        <f>C34+$B$6*D34</f>
        <v/>
      </c>
      <c r="F34" s="4">
        <f>$B$3*E34^(3/4)*(1-(E34/$B$4)^(1/4))</f>
        <v/>
      </c>
      <c r="G34" s="4">
        <f>( $B$8 + ($B$9-$B$8)*EXP(-$B$3*B34/(4*$B$8)) )^4</f>
        <v/>
      </c>
      <c r="H34" s="4">
        <f>ABS(C34-G34)</f>
        <v/>
      </c>
    </row>
    <row r="35">
      <c r="A35" s="4">
        <f>A34+1</f>
        <v/>
      </c>
      <c r="B35" s="4">
        <f>B34+$B$6</f>
        <v/>
      </c>
      <c r="C35" s="4">
        <f>C34+($B$6/2)*(D34+F34)</f>
        <v/>
      </c>
      <c r="D35" s="4">
        <f>$B$3*C35^(3/4)*(1-(C35/$B$4)^(1/4))</f>
        <v/>
      </c>
      <c r="E35" s="4">
        <f>C35+$B$6*D35</f>
        <v/>
      </c>
      <c r="F35" s="4">
        <f>$B$3*E35^(3/4)*(1-(E35/$B$4)^(1/4))</f>
        <v/>
      </c>
      <c r="G35" s="4">
        <f>( $B$8 + ($B$9-$B$8)*EXP(-$B$3*B35/(4*$B$8)) )^4</f>
        <v/>
      </c>
      <c r="H35" s="4">
        <f>ABS(C35-G35)</f>
        <v/>
      </c>
    </row>
    <row r="36">
      <c r="A36" s="4">
        <f>A35+1</f>
        <v/>
      </c>
      <c r="B36" s="4">
        <f>B35+$B$6</f>
        <v/>
      </c>
      <c r="C36" s="4">
        <f>C35+($B$6/2)*(D35+F35)</f>
        <v/>
      </c>
      <c r="D36" s="4">
        <f>$B$3*C36^(3/4)*(1-(C36/$B$4)^(1/4))</f>
        <v/>
      </c>
      <c r="E36" s="4">
        <f>C36+$B$6*D36</f>
        <v/>
      </c>
      <c r="F36" s="4">
        <f>$B$3*E36^(3/4)*(1-(E36/$B$4)^(1/4))</f>
        <v/>
      </c>
      <c r="G36" s="4">
        <f>( $B$8 + ($B$9-$B$8)*EXP(-$B$3*B36/(4*$B$8)) )^4</f>
        <v/>
      </c>
      <c r="H36" s="4">
        <f>ABS(C36-G36)</f>
        <v/>
      </c>
    </row>
    <row r="37">
      <c r="A37" s="4">
        <f>A36+1</f>
        <v/>
      </c>
      <c r="B37" s="4">
        <f>B36+$B$6</f>
        <v/>
      </c>
      <c r="C37" s="4">
        <f>C36+($B$6/2)*(D36+F36)</f>
        <v/>
      </c>
      <c r="D37" s="4">
        <f>$B$3*C37^(3/4)*(1-(C37/$B$4)^(1/4))</f>
        <v/>
      </c>
      <c r="E37" s="4">
        <f>C37+$B$6*D37</f>
        <v/>
      </c>
      <c r="F37" s="4">
        <f>$B$3*E37^(3/4)*(1-(E37/$B$4)^(1/4))</f>
        <v/>
      </c>
      <c r="G37" s="4">
        <f>( $B$8 + ($B$9-$B$8)*EXP(-$B$3*B37/(4*$B$8)) )^4</f>
        <v/>
      </c>
      <c r="H37" s="4">
        <f>ABS(C37-G37)</f>
        <v/>
      </c>
    </row>
    <row r="38">
      <c r="A38" s="4">
        <f>A37+1</f>
        <v/>
      </c>
      <c r="B38" s="4">
        <f>B37+$B$6</f>
        <v/>
      </c>
      <c r="C38" s="4">
        <f>C37+($B$6/2)*(D37+F37)</f>
        <v/>
      </c>
      <c r="D38" s="4">
        <f>$B$3*C38^(3/4)*(1-(C38/$B$4)^(1/4))</f>
        <v/>
      </c>
      <c r="E38" s="4">
        <f>C38+$B$6*D38</f>
        <v/>
      </c>
      <c r="F38" s="4">
        <f>$B$3*E38^(3/4)*(1-(E38/$B$4)^(1/4))</f>
        <v/>
      </c>
      <c r="G38" s="4">
        <f>( $B$8 + ($B$9-$B$8)*EXP(-$B$3*B38/(4*$B$8)) )^4</f>
        <v/>
      </c>
      <c r="H38" s="4">
        <f>ABS(C38-G38)</f>
        <v/>
      </c>
    </row>
    <row r="39">
      <c r="A39" s="4">
        <f>A38+1</f>
        <v/>
      </c>
      <c r="B39" s="4">
        <f>B38+$B$6</f>
        <v/>
      </c>
      <c r="C39" s="4">
        <f>C38+($B$6/2)*(D38+F38)</f>
        <v/>
      </c>
      <c r="D39" s="4">
        <f>$B$3*C39^(3/4)*(1-(C39/$B$4)^(1/4))</f>
        <v/>
      </c>
      <c r="E39" s="4">
        <f>C39+$B$6*D39</f>
        <v/>
      </c>
      <c r="F39" s="4">
        <f>$B$3*E39^(3/4)*(1-(E39/$B$4)^(1/4))</f>
        <v/>
      </c>
      <c r="G39" s="4">
        <f>( $B$8 + ($B$9-$B$8)*EXP(-$B$3*B39/(4*$B$8)) )^4</f>
        <v/>
      </c>
      <c r="H39" s="4">
        <f>ABS(C39-G39)</f>
        <v/>
      </c>
    </row>
    <row r="40">
      <c r="A40" s="4">
        <f>A39+1</f>
        <v/>
      </c>
      <c r="B40" s="4">
        <f>B39+$B$6</f>
        <v/>
      </c>
      <c r="C40" s="4">
        <f>C39+($B$6/2)*(D39+F39)</f>
        <v/>
      </c>
      <c r="D40" s="4">
        <f>$B$3*C40^(3/4)*(1-(C40/$B$4)^(1/4))</f>
        <v/>
      </c>
      <c r="E40" s="4">
        <f>C40+$B$6*D40</f>
        <v/>
      </c>
      <c r="F40" s="4">
        <f>$B$3*E40^(3/4)*(1-(E40/$B$4)^(1/4))</f>
        <v/>
      </c>
      <c r="G40" s="4">
        <f>( $B$8 + ($B$9-$B$8)*EXP(-$B$3*B40/(4*$B$8)) )^4</f>
        <v/>
      </c>
      <c r="H40" s="4">
        <f>ABS(C40-G40)</f>
        <v/>
      </c>
    </row>
    <row r="41">
      <c r="A41" s="4">
        <f>A40+1</f>
        <v/>
      </c>
      <c r="B41" s="4">
        <f>B40+$B$6</f>
        <v/>
      </c>
      <c r="C41" s="4">
        <f>C40+($B$6/2)*(D40+F40)</f>
        <v/>
      </c>
      <c r="D41" s="4">
        <f>$B$3*C41^(3/4)*(1-(C41/$B$4)^(1/4))</f>
        <v/>
      </c>
      <c r="E41" s="4">
        <f>C41+$B$6*D41</f>
        <v/>
      </c>
      <c r="F41" s="4">
        <f>$B$3*E41^(3/4)*(1-(E41/$B$4)^(1/4))</f>
        <v/>
      </c>
      <c r="G41" s="4">
        <f>( $B$8 + ($B$9-$B$8)*EXP(-$B$3*B41/(4*$B$8)) )^4</f>
        <v/>
      </c>
      <c r="H41" s="4">
        <f>ABS(C41-G41)</f>
        <v/>
      </c>
    </row>
    <row r="42">
      <c r="A42" s="4">
        <f>A41+1</f>
        <v/>
      </c>
      <c r="B42" s="4">
        <f>B41+$B$6</f>
        <v/>
      </c>
      <c r="C42" s="4">
        <f>C41+($B$6/2)*(D41+F41)</f>
        <v/>
      </c>
      <c r="D42" s="4">
        <f>$B$3*C42^(3/4)*(1-(C42/$B$4)^(1/4))</f>
        <v/>
      </c>
      <c r="E42" s="4">
        <f>C42+$B$6*D42</f>
        <v/>
      </c>
      <c r="F42" s="4">
        <f>$B$3*E42^(3/4)*(1-(E42/$B$4)^(1/4))</f>
        <v/>
      </c>
      <c r="G42" s="4">
        <f>( $B$8 + ($B$9-$B$8)*EXP(-$B$3*B42/(4*$B$8)) )^4</f>
        <v/>
      </c>
      <c r="H42" s="4">
        <f>ABS(C42-G42)</f>
        <v/>
      </c>
    </row>
    <row r="43">
      <c r="A43" s="4">
        <f>A42+1</f>
        <v/>
      </c>
      <c r="B43" s="4">
        <f>B42+$B$6</f>
        <v/>
      </c>
      <c r="C43" s="4">
        <f>C42+($B$6/2)*(D42+F42)</f>
        <v/>
      </c>
      <c r="D43" s="4">
        <f>$B$3*C43^(3/4)*(1-(C43/$B$4)^(1/4))</f>
        <v/>
      </c>
      <c r="E43" s="4">
        <f>C43+$B$6*D43</f>
        <v/>
      </c>
      <c r="F43" s="4">
        <f>$B$3*E43^(3/4)*(1-(E43/$B$4)^(1/4))</f>
        <v/>
      </c>
      <c r="G43" s="4">
        <f>( $B$8 + ($B$9-$B$8)*EXP(-$B$3*B43/(4*$B$8)) )^4</f>
        <v/>
      </c>
      <c r="H43" s="4">
        <f>ABS(C43-G43)</f>
        <v/>
      </c>
    </row>
    <row r="44">
      <c r="A44" s="4">
        <f>A43+1</f>
        <v/>
      </c>
      <c r="B44" s="4">
        <f>B43+$B$6</f>
        <v/>
      </c>
      <c r="C44" s="4">
        <f>C43+($B$6/2)*(D43+F43)</f>
        <v/>
      </c>
      <c r="D44" s="4">
        <f>$B$3*C44^(3/4)*(1-(C44/$B$4)^(1/4))</f>
        <v/>
      </c>
      <c r="E44" s="4">
        <f>C44+$B$6*D44</f>
        <v/>
      </c>
      <c r="F44" s="4">
        <f>$B$3*E44^(3/4)*(1-(E44/$B$4)^(1/4))</f>
        <v/>
      </c>
      <c r="G44" s="4">
        <f>( $B$8 + ($B$9-$B$8)*EXP(-$B$3*B44/(4*$B$8)) )^4</f>
        <v/>
      </c>
      <c r="H44" s="4">
        <f>ABS(C44-G44)</f>
        <v/>
      </c>
    </row>
    <row r="45">
      <c r="A45" s="4">
        <f>A44+1</f>
        <v/>
      </c>
      <c r="B45" s="4">
        <f>B44+$B$6</f>
        <v/>
      </c>
      <c r="C45" s="4">
        <f>C44+($B$6/2)*(D44+F44)</f>
        <v/>
      </c>
      <c r="D45" s="4">
        <f>$B$3*C45^(3/4)*(1-(C45/$B$4)^(1/4))</f>
        <v/>
      </c>
      <c r="E45" s="4">
        <f>C45+$B$6*D45</f>
        <v/>
      </c>
      <c r="F45" s="4">
        <f>$B$3*E45^(3/4)*(1-(E45/$B$4)^(1/4))</f>
        <v/>
      </c>
      <c r="G45" s="4">
        <f>( $B$8 + ($B$9-$B$8)*EXP(-$B$3*B45/(4*$B$8)) )^4</f>
        <v/>
      </c>
      <c r="H45" s="4">
        <f>ABS(C45-G45)</f>
        <v/>
      </c>
    </row>
    <row r="46">
      <c r="A46" s="4">
        <f>A45+1</f>
        <v/>
      </c>
      <c r="B46" s="4">
        <f>B45+$B$6</f>
        <v/>
      </c>
      <c r="C46" s="4">
        <f>C45+($B$6/2)*(D45+F45)</f>
        <v/>
      </c>
      <c r="D46" s="4">
        <f>$B$3*C46^(3/4)*(1-(C46/$B$4)^(1/4))</f>
        <v/>
      </c>
      <c r="E46" s="4">
        <f>C46+$B$6*D46</f>
        <v/>
      </c>
      <c r="F46" s="4">
        <f>$B$3*E46^(3/4)*(1-(E46/$B$4)^(1/4))</f>
        <v/>
      </c>
      <c r="G46" s="4">
        <f>( $B$8 + ($B$9-$B$8)*EXP(-$B$3*B46/(4*$B$8)) )^4</f>
        <v/>
      </c>
      <c r="H46" s="4">
        <f>ABS(C46-G46)</f>
        <v/>
      </c>
    </row>
    <row r="47">
      <c r="A47" s="4">
        <f>A46+1</f>
        <v/>
      </c>
      <c r="B47" s="4">
        <f>B46+$B$6</f>
        <v/>
      </c>
      <c r="C47" s="4">
        <f>C46+($B$6/2)*(D46+F46)</f>
        <v/>
      </c>
      <c r="D47" s="4">
        <f>$B$3*C47^(3/4)*(1-(C47/$B$4)^(1/4))</f>
        <v/>
      </c>
      <c r="E47" s="4">
        <f>C47+$B$6*D47</f>
        <v/>
      </c>
      <c r="F47" s="4">
        <f>$B$3*E47^(3/4)*(1-(E47/$B$4)^(1/4))</f>
        <v/>
      </c>
      <c r="G47" s="4">
        <f>( $B$8 + ($B$9-$B$8)*EXP(-$B$3*B47/(4*$B$8)) )^4</f>
        <v/>
      </c>
      <c r="H47" s="4">
        <f>ABS(C47-G47)</f>
        <v/>
      </c>
    </row>
    <row r="48">
      <c r="A48" s="4">
        <f>A47+1</f>
        <v/>
      </c>
      <c r="B48" s="4">
        <f>B47+$B$6</f>
        <v/>
      </c>
      <c r="C48" s="4">
        <f>C47+($B$6/2)*(D47+F47)</f>
        <v/>
      </c>
      <c r="D48" s="4">
        <f>$B$3*C48^(3/4)*(1-(C48/$B$4)^(1/4))</f>
        <v/>
      </c>
      <c r="E48" s="4">
        <f>C48+$B$6*D48</f>
        <v/>
      </c>
      <c r="F48" s="4">
        <f>$B$3*E48^(3/4)*(1-(E48/$B$4)^(1/4))</f>
        <v/>
      </c>
      <c r="G48" s="4">
        <f>( $B$8 + ($B$9-$B$8)*EXP(-$B$3*B48/(4*$B$8)) )^4</f>
        <v/>
      </c>
      <c r="H48" s="4">
        <f>ABS(C48-G48)</f>
        <v/>
      </c>
    </row>
    <row r="49">
      <c r="A49" s="4">
        <f>A48+1</f>
        <v/>
      </c>
      <c r="B49" s="4">
        <f>B48+$B$6</f>
        <v/>
      </c>
      <c r="C49" s="4">
        <f>C48+($B$6/2)*(D48+F48)</f>
        <v/>
      </c>
      <c r="D49" s="4">
        <f>$B$3*C49^(3/4)*(1-(C49/$B$4)^(1/4))</f>
        <v/>
      </c>
      <c r="E49" s="4">
        <f>C49+$B$6*D49</f>
        <v/>
      </c>
      <c r="F49" s="4">
        <f>$B$3*E49^(3/4)*(1-(E49/$B$4)^(1/4))</f>
        <v/>
      </c>
      <c r="G49" s="4">
        <f>( $B$8 + ($B$9-$B$8)*EXP(-$B$3*B49/(4*$B$8)) )^4</f>
        <v/>
      </c>
      <c r="H49" s="4">
        <f>ABS(C49-G49)</f>
        <v/>
      </c>
    </row>
    <row r="50">
      <c r="A50" s="4">
        <f>A49+1</f>
        <v/>
      </c>
      <c r="B50" s="4">
        <f>B49+$B$6</f>
        <v/>
      </c>
      <c r="C50" s="4">
        <f>C49+($B$6/2)*(D49+F49)</f>
        <v/>
      </c>
      <c r="D50" s="4">
        <f>$B$3*C50^(3/4)*(1-(C50/$B$4)^(1/4))</f>
        <v/>
      </c>
      <c r="E50" s="4">
        <f>C50+$B$6*D50</f>
        <v/>
      </c>
      <c r="F50" s="4">
        <f>$B$3*E50^(3/4)*(1-(E50/$B$4)^(1/4))</f>
        <v/>
      </c>
      <c r="G50" s="4">
        <f>( $B$8 + ($B$9-$B$8)*EXP(-$B$3*B50/(4*$B$8)) )^4</f>
        <v/>
      </c>
      <c r="H50" s="4">
        <f>ABS(C50-G50)</f>
        <v/>
      </c>
    </row>
    <row r="51">
      <c r="A51" s="4">
        <f>A50+1</f>
        <v/>
      </c>
      <c r="B51" s="4">
        <f>B50+$B$6</f>
        <v/>
      </c>
      <c r="C51" s="4">
        <f>C50+($B$6/2)*(D50+F50)</f>
        <v/>
      </c>
      <c r="D51" s="4">
        <f>$B$3*C51^(3/4)*(1-(C51/$B$4)^(1/4))</f>
        <v/>
      </c>
      <c r="E51" s="4">
        <f>C51+$B$6*D51</f>
        <v/>
      </c>
      <c r="F51" s="4">
        <f>$B$3*E51^(3/4)*(1-(E51/$B$4)^(1/4))</f>
        <v/>
      </c>
      <c r="G51" s="4">
        <f>( $B$8 + ($B$9-$B$8)*EXP(-$B$3*B51/(4*$B$8)) )^4</f>
        <v/>
      </c>
      <c r="H51" s="4">
        <f>ABS(C51-G51)</f>
        <v/>
      </c>
    </row>
    <row r="52">
      <c r="A52" s="4">
        <f>A51+1</f>
        <v/>
      </c>
      <c r="B52" s="4">
        <f>B51+$B$6</f>
        <v/>
      </c>
      <c r="C52" s="4">
        <f>C51+($B$6/2)*(D51+F51)</f>
        <v/>
      </c>
      <c r="D52" s="4">
        <f>$B$3*C52^(3/4)*(1-(C52/$B$4)^(1/4))</f>
        <v/>
      </c>
      <c r="E52" s="4">
        <f>C52+$B$6*D52</f>
        <v/>
      </c>
      <c r="F52" s="4">
        <f>$B$3*E52^(3/4)*(1-(E52/$B$4)^(1/4))</f>
        <v/>
      </c>
      <c r="G52" s="4">
        <f>( $B$8 + ($B$9-$B$8)*EXP(-$B$3*B52/(4*$B$8)) )^4</f>
        <v/>
      </c>
      <c r="H52" s="4">
        <f>ABS(C52-G52)</f>
        <v/>
      </c>
    </row>
    <row r="53">
      <c r="A53" s="4">
        <f>A52+1</f>
        <v/>
      </c>
      <c r="B53" s="4">
        <f>B52+$B$6</f>
        <v/>
      </c>
      <c r="C53" s="4">
        <f>C52+($B$6/2)*(D52+F52)</f>
        <v/>
      </c>
      <c r="D53" s="4">
        <f>$B$3*C53^(3/4)*(1-(C53/$B$4)^(1/4))</f>
        <v/>
      </c>
      <c r="E53" s="4">
        <f>C53+$B$6*D53</f>
        <v/>
      </c>
      <c r="F53" s="4">
        <f>$B$3*E53^(3/4)*(1-(E53/$B$4)^(1/4))</f>
        <v/>
      </c>
      <c r="G53" s="4">
        <f>( $B$8 + ($B$9-$B$8)*EXP(-$B$3*B53/(4*$B$8)) )^4</f>
        <v/>
      </c>
      <c r="H53" s="4">
        <f>ABS(C53-G53)</f>
        <v/>
      </c>
    </row>
    <row r="54">
      <c r="A54" s="4">
        <f>A53+1</f>
        <v/>
      </c>
      <c r="B54" s="4">
        <f>B53+$B$6</f>
        <v/>
      </c>
      <c r="C54" s="4">
        <f>C53+($B$6/2)*(D53+F53)</f>
        <v/>
      </c>
      <c r="D54" s="4">
        <f>$B$3*C54^(3/4)*(1-(C54/$B$4)^(1/4))</f>
        <v/>
      </c>
      <c r="E54" s="4">
        <f>C54+$B$6*D54</f>
        <v/>
      </c>
      <c r="F54" s="4">
        <f>$B$3*E54^(3/4)*(1-(E54/$B$4)^(1/4))</f>
        <v/>
      </c>
      <c r="G54" s="4">
        <f>( $B$8 + ($B$9-$B$8)*EXP(-$B$3*B54/(4*$B$8)) )^4</f>
        <v/>
      </c>
      <c r="H54" s="4">
        <f>ABS(C54-G54)</f>
        <v/>
      </c>
    </row>
    <row r="55">
      <c r="A55" s="4">
        <f>A54+1</f>
        <v/>
      </c>
      <c r="B55" s="4">
        <f>B54+$B$6</f>
        <v/>
      </c>
      <c r="C55" s="4">
        <f>C54+($B$6/2)*(D54+F54)</f>
        <v/>
      </c>
      <c r="D55" s="4">
        <f>$B$3*C55^(3/4)*(1-(C55/$B$4)^(1/4))</f>
        <v/>
      </c>
      <c r="E55" s="4">
        <f>C55+$B$6*D55</f>
        <v/>
      </c>
      <c r="F55" s="4">
        <f>$B$3*E55^(3/4)*(1-(E55/$B$4)^(1/4))</f>
        <v/>
      </c>
      <c r="G55" s="4">
        <f>( $B$8 + ($B$9-$B$8)*EXP(-$B$3*B55/(4*$B$8)) )^4</f>
        <v/>
      </c>
      <c r="H55" s="4">
        <f>ABS(C55-G55)</f>
        <v/>
      </c>
    </row>
    <row r="56">
      <c r="A56" s="4">
        <f>A55+1</f>
        <v/>
      </c>
      <c r="B56" s="4">
        <f>B55+$B$6</f>
        <v/>
      </c>
      <c r="C56" s="4">
        <f>C55+($B$6/2)*(D55+F55)</f>
        <v/>
      </c>
      <c r="D56" s="4">
        <f>$B$3*C56^(3/4)*(1-(C56/$B$4)^(1/4))</f>
        <v/>
      </c>
      <c r="E56" s="4">
        <f>C56+$B$6*D56</f>
        <v/>
      </c>
      <c r="F56" s="4">
        <f>$B$3*E56^(3/4)*(1-(E56/$B$4)^(1/4))</f>
        <v/>
      </c>
      <c r="G56" s="4">
        <f>( $B$8 + ($B$9-$B$8)*EXP(-$B$3*B56/(4*$B$8)) )^4</f>
        <v/>
      </c>
      <c r="H56" s="4">
        <f>ABS(C56-G56)</f>
        <v/>
      </c>
    </row>
    <row r="57">
      <c r="A57" s="4">
        <f>A56+1</f>
        <v/>
      </c>
      <c r="B57" s="4">
        <f>B56+$B$6</f>
        <v/>
      </c>
      <c r="C57" s="4">
        <f>C56+($B$6/2)*(D56+F56)</f>
        <v/>
      </c>
      <c r="D57" s="4">
        <f>$B$3*C57^(3/4)*(1-(C57/$B$4)^(1/4))</f>
        <v/>
      </c>
      <c r="E57" s="4">
        <f>C57+$B$6*D57</f>
        <v/>
      </c>
      <c r="F57" s="4">
        <f>$B$3*E57^(3/4)*(1-(E57/$B$4)^(1/4))</f>
        <v/>
      </c>
      <c r="G57" s="4">
        <f>( $B$8 + ($B$9-$B$8)*EXP(-$B$3*B57/(4*$B$8)) )^4</f>
        <v/>
      </c>
      <c r="H57" s="4">
        <f>ABS(C57-G57)</f>
        <v/>
      </c>
    </row>
    <row r="58">
      <c r="A58" s="4">
        <f>A57+1</f>
        <v/>
      </c>
      <c r="B58" s="4">
        <f>B57+$B$6</f>
        <v/>
      </c>
      <c r="C58" s="4">
        <f>C57+($B$6/2)*(D57+F57)</f>
        <v/>
      </c>
      <c r="D58" s="4">
        <f>$B$3*C58^(3/4)*(1-(C58/$B$4)^(1/4))</f>
        <v/>
      </c>
      <c r="E58" s="4">
        <f>C58+$B$6*D58</f>
        <v/>
      </c>
      <c r="F58" s="4">
        <f>$B$3*E58^(3/4)*(1-(E58/$B$4)^(1/4))</f>
        <v/>
      </c>
      <c r="G58" s="4">
        <f>( $B$8 + ($B$9-$B$8)*EXP(-$B$3*B58/(4*$B$8)) )^4</f>
        <v/>
      </c>
      <c r="H58" s="4">
        <f>ABS(C58-G58)</f>
        <v/>
      </c>
    </row>
    <row r="59">
      <c r="A59" s="4">
        <f>A58+1</f>
        <v/>
      </c>
      <c r="B59" s="4">
        <f>B58+$B$6</f>
        <v/>
      </c>
      <c r="C59" s="4">
        <f>C58+($B$6/2)*(D58+F58)</f>
        <v/>
      </c>
      <c r="D59" s="4">
        <f>$B$3*C59^(3/4)*(1-(C59/$B$4)^(1/4))</f>
        <v/>
      </c>
      <c r="E59" s="4">
        <f>C59+$B$6*D59</f>
        <v/>
      </c>
      <c r="F59" s="4">
        <f>$B$3*E59^(3/4)*(1-(E59/$B$4)^(1/4))</f>
        <v/>
      </c>
      <c r="G59" s="4">
        <f>( $B$8 + ($B$9-$B$8)*EXP(-$B$3*B59/(4*$B$8)) )^4</f>
        <v/>
      </c>
      <c r="H59" s="4">
        <f>ABS(C59-G59)</f>
        <v/>
      </c>
    </row>
    <row r="60">
      <c r="A60" s="4">
        <f>A59+1</f>
        <v/>
      </c>
      <c r="B60" s="4">
        <f>B59+$B$6</f>
        <v/>
      </c>
      <c r="C60" s="4">
        <f>C59+($B$6/2)*(D59+F59)</f>
        <v/>
      </c>
      <c r="D60" s="4">
        <f>$B$3*C60^(3/4)*(1-(C60/$B$4)^(1/4))</f>
        <v/>
      </c>
      <c r="E60" s="4">
        <f>C60+$B$6*D60</f>
        <v/>
      </c>
      <c r="F60" s="4">
        <f>$B$3*E60^(3/4)*(1-(E60/$B$4)^(1/4))</f>
        <v/>
      </c>
      <c r="G60" s="4">
        <f>( $B$8 + ($B$9-$B$8)*EXP(-$B$3*B60/(4*$B$8)) )^4</f>
        <v/>
      </c>
      <c r="H60" s="4">
        <f>ABS(C60-G60)</f>
        <v/>
      </c>
    </row>
    <row r="61">
      <c r="A61" s="4">
        <f>A60+1</f>
        <v/>
      </c>
      <c r="B61" s="4">
        <f>B60+$B$6</f>
        <v/>
      </c>
      <c r="C61" s="4">
        <f>C60+($B$6/2)*(D60+F60)</f>
        <v/>
      </c>
      <c r="D61" s="4">
        <f>$B$3*C61^(3/4)*(1-(C61/$B$4)^(1/4))</f>
        <v/>
      </c>
      <c r="E61" s="4">
        <f>C61+$B$6*D61</f>
        <v/>
      </c>
      <c r="F61" s="4">
        <f>$B$3*E61^(3/4)*(1-(E61/$B$4)^(1/4))</f>
        <v/>
      </c>
      <c r="G61" s="4">
        <f>( $B$8 + ($B$9-$B$8)*EXP(-$B$3*B61/(4*$B$8)) )^4</f>
        <v/>
      </c>
      <c r="H61" s="4">
        <f>ABS(C61-G61)</f>
        <v/>
      </c>
    </row>
    <row r="62">
      <c r="A62" s="4">
        <f>A61+1</f>
        <v/>
      </c>
      <c r="B62" s="4">
        <f>B61+$B$6</f>
        <v/>
      </c>
      <c r="C62" s="4">
        <f>C61+($B$6/2)*(D61+F61)</f>
        <v/>
      </c>
      <c r="D62" s="4">
        <f>$B$3*C62^(3/4)*(1-(C62/$B$4)^(1/4))</f>
        <v/>
      </c>
      <c r="E62" s="4">
        <f>C62+$B$6*D62</f>
        <v/>
      </c>
      <c r="F62" s="4">
        <f>$B$3*E62^(3/4)*(1-(E62/$B$4)^(1/4))</f>
        <v/>
      </c>
      <c r="G62" s="4">
        <f>( $B$8 + ($B$9-$B$8)*EXP(-$B$3*B62/(4*$B$8)) )^4</f>
        <v/>
      </c>
      <c r="H62" s="4">
        <f>ABS(C62-G62)</f>
        <v/>
      </c>
    </row>
    <row r="63">
      <c r="A63" s="4">
        <f>A62+1</f>
        <v/>
      </c>
      <c r="B63" s="4">
        <f>B62+$B$6</f>
        <v/>
      </c>
      <c r="C63" s="4">
        <f>C62+($B$6/2)*(D62+F62)</f>
        <v/>
      </c>
      <c r="D63" s="4">
        <f>$B$3*C63^(3/4)*(1-(C63/$B$4)^(1/4))</f>
        <v/>
      </c>
      <c r="E63" s="4">
        <f>C63+$B$6*D63</f>
        <v/>
      </c>
      <c r="F63" s="4">
        <f>$B$3*E63^(3/4)*(1-(E63/$B$4)^(1/4))</f>
        <v/>
      </c>
      <c r="G63" s="4">
        <f>( $B$8 + ($B$9-$B$8)*EXP(-$B$3*B63/(4*$B$8)) )^4</f>
        <v/>
      </c>
      <c r="H63" s="4">
        <f>ABS(C63-G63)</f>
        <v/>
      </c>
    </row>
    <row r="64">
      <c r="A64" s="4">
        <f>A63+1</f>
        <v/>
      </c>
      <c r="B64" s="4">
        <f>B63+$B$6</f>
        <v/>
      </c>
      <c r="C64" s="4">
        <f>C63+($B$6/2)*(D63+F63)</f>
        <v/>
      </c>
      <c r="D64" s="4">
        <f>$B$3*C64^(3/4)*(1-(C64/$B$4)^(1/4))</f>
        <v/>
      </c>
      <c r="E64" s="4">
        <f>C64+$B$6*D64</f>
        <v/>
      </c>
      <c r="F64" s="4">
        <f>$B$3*E64^(3/4)*(1-(E64/$B$4)^(1/4))</f>
        <v/>
      </c>
      <c r="G64" s="4">
        <f>( $B$8 + ($B$9-$B$8)*EXP(-$B$3*B64/(4*$B$8)) )^4</f>
        <v/>
      </c>
      <c r="H64" s="4">
        <f>ABS(C64-G64)</f>
        <v/>
      </c>
    </row>
    <row r="65">
      <c r="A65" s="4">
        <f>A64+1</f>
        <v/>
      </c>
      <c r="B65" s="4">
        <f>B64+$B$6</f>
        <v/>
      </c>
      <c r="C65" s="4">
        <f>C64+($B$6/2)*(D64+F64)</f>
        <v/>
      </c>
      <c r="D65" s="4">
        <f>$B$3*C65^(3/4)*(1-(C65/$B$4)^(1/4))</f>
        <v/>
      </c>
      <c r="E65" s="4">
        <f>C65+$B$6*D65</f>
        <v/>
      </c>
      <c r="F65" s="4">
        <f>$B$3*E65^(3/4)*(1-(E65/$B$4)^(1/4))</f>
        <v/>
      </c>
      <c r="G65" s="4">
        <f>( $B$8 + ($B$9-$B$8)*EXP(-$B$3*B65/(4*$B$8)) )^4</f>
        <v/>
      </c>
      <c r="H65" s="4">
        <f>ABS(C65-G65)</f>
        <v/>
      </c>
    </row>
    <row r="66">
      <c r="A66" s="4">
        <f>A65+1</f>
        <v/>
      </c>
      <c r="B66" s="4">
        <f>B65+$B$6</f>
        <v/>
      </c>
      <c r="C66" s="4">
        <f>C65+($B$6/2)*(D65+F65)</f>
        <v/>
      </c>
      <c r="D66" s="4">
        <f>$B$3*C66^(3/4)*(1-(C66/$B$4)^(1/4))</f>
        <v/>
      </c>
      <c r="E66" s="4">
        <f>C66+$B$6*D66</f>
        <v/>
      </c>
      <c r="F66" s="4">
        <f>$B$3*E66^(3/4)*(1-(E66/$B$4)^(1/4))</f>
        <v/>
      </c>
      <c r="G66" s="4">
        <f>( $B$8 + ($B$9-$B$8)*EXP(-$B$3*B66/(4*$B$8)) )^4</f>
        <v/>
      </c>
      <c r="H66" s="4">
        <f>ABS(C66-G66)</f>
        <v/>
      </c>
    </row>
    <row r="67">
      <c r="A67" s="4">
        <f>A66+1</f>
        <v/>
      </c>
      <c r="B67" s="4">
        <f>B66+$B$6</f>
        <v/>
      </c>
      <c r="C67" s="4">
        <f>C66+($B$6/2)*(D66+F66)</f>
        <v/>
      </c>
      <c r="D67" s="4">
        <f>$B$3*C67^(3/4)*(1-(C67/$B$4)^(1/4))</f>
        <v/>
      </c>
      <c r="E67" s="4">
        <f>C67+$B$6*D67</f>
        <v/>
      </c>
      <c r="F67" s="4">
        <f>$B$3*E67^(3/4)*(1-(E67/$B$4)^(1/4))</f>
        <v/>
      </c>
      <c r="G67" s="4">
        <f>( $B$8 + ($B$9-$B$8)*EXP(-$B$3*B67/(4*$B$8)) )^4</f>
        <v/>
      </c>
      <c r="H67" s="4">
        <f>ABS(C67-G67)</f>
        <v/>
      </c>
    </row>
    <row r="68">
      <c r="A68" s="4">
        <f>A67+1</f>
        <v/>
      </c>
      <c r="B68" s="4">
        <f>B67+$B$6</f>
        <v/>
      </c>
      <c r="C68" s="4">
        <f>C67+($B$6/2)*(D67+F67)</f>
        <v/>
      </c>
      <c r="D68" s="4">
        <f>$B$3*C68^(3/4)*(1-(C68/$B$4)^(1/4))</f>
        <v/>
      </c>
      <c r="E68" s="4">
        <f>C68+$B$6*D68</f>
        <v/>
      </c>
      <c r="F68" s="4">
        <f>$B$3*E68^(3/4)*(1-(E68/$B$4)^(1/4))</f>
        <v/>
      </c>
      <c r="G68" s="4">
        <f>( $B$8 + ($B$9-$B$8)*EXP(-$B$3*B68/(4*$B$8)) )^4</f>
        <v/>
      </c>
      <c r="H68" s="4">
        <f>ABS(C68-G68)</f>
        <v/>
      </c>
    </row>
    <row r="69">
      <c r="A69" s="4">
        <f>A68+1</f>
        <v/>
      </c>
      <c r="B69" s="4">
        <f>B68+$B$6</f>
        <v/>
      </c>
      <c r="C69" s="4">
        <f>C68+($B$6/2)*(D68+F68)</f>
        <v/>
      </c>
      <c r="D69" s="4">
        <f>$B$3*C69^(3/4)*(1-(C69/$B$4)^(1/4))</f>
        <v/>
      </c>
      <c r="E69" s="4">
        <f>C69+$B$6*D69</f>
        <v/>
      </c>
      <c r="F69" s="4">
        <f>$B$3*E69^(3/4)*(1-(E69/$B$4)^(1/4))</f>
        <v/>
      </c>
      <c r="G69" s="4">
        <f>( $B$8 + ($B$9-$B$8)*EXP(-$B$3*B69/(4*$B$8)) )^4</f>
        <v/>
      </c>
      <c r="H69" s="4">
        <f>ABS(C69-G69)</f>
        <v/>
      </c>
    </row>
    <row r="70">
      <c r="A70" s="4">
        <f>A69+1</f>
        <v/>
      </c>
      <c r="B70" s="4">
        <f>B69+$B$6</f>
        <v/>
      </c>
      <c r="C70" s="4">
        <f>C69+($B$6/2)*(D69+F69)</f>
        <v/>
      </c>
      <c r="D70" s="4">
        <f>$B$3*C70^(3/4)*(1-(C70/$B$4)^(1/4))</f>
        <v/>
      </c>
      <c r="E70" s="4">
        <f>C70+$B$6*D70</f>
        <v/>
      </c>
      <c r="F70" s="4">
        <f>$B$3*E70^(3/4)*(1-(E70/$B$4)^(1/4))</f>
        <v/>
      </c>
      <c r="G70" s="4">
        <f>( $B$8 + ($B$9-$B$8)*EXP(-$B$3*B70/(4*$B$8)) )^4</f>
        <v/>
      </c>
      <c r="H70" s="4">
        <f>ABS(C70-G70)</f>
        <v/>
      </c>
    </row>
    <row r="71">
      <c r="A71" s="4">
        <f>A70+1</f>
        <v/>
      </c>
      <c r="B71" s="4">
        <f>B70+$B$6</f>
        <v/>
      </c>
      <c r="C71" s="4">
        <f>C70+($B$6/2)*(D70+F70)</f>
        <v/>
      </c>
      <c r="D71" s="4">
        <f>$B$3*C71^(3/4)*(1-(C71/$B$4)^(1/4))</f>
        <v/>
      </c>
      <c r="E71" s="4">
        <f>C71+$B$6*D71</f>
        <v/>
      </c>
      <c r="F71" s="4">
        <f>$B$3*E71^(3/4)*(1-(E71/$B$4)^(1/4))</f>
        <v/>
      </c>
      <c r="G71" s="4">
        <f>( $B$8 + ($B$9-$B$8)*EXP(-$B$3*B71/(4*$B$8)) )^4</f>
        <v/>
      </c>
      <c r="H71" s="4">
        <f>ABS(C71-G71)</f>
        <v/>
      </c>
    </row>
    <row r="72">
      <c r="A72" s="4">
        <f>A71+1</f>
        <v/>
      </c>
      <c r="B72" s="4">
        <f>B71+$B$6</f>
        <v/>
      </c>
      <c r="C72" s="4">
        <f>C71+($B$6/2)*(D71+F71)</f>
        <v/>
      </c>
      <c r="D72" s="4">
        <f>$B$3*C72^(3/4)*(1-(C72/$B$4)^(1/4))</f>
        <v/>
      </c>
      <c r="E72" s="4">
        <f>C72+$B$6*D72</f>
        <v/>
      </c>
      <c r="F72" s="4">
        <f>$B$3*E72^(3/4)*(1-(E72/$B$4)^(1/4))</f>
        <v/>
      </c>
      <c r="G72" s="4">
        <f>( $B$8 + ($B$9-$B$8)*EXP(-$B$3*B72/(4*$B$8)) )^4</f>
        <v/>
      </c>
      <c r="H72" s="4">
        <f>ABS(C72-G72)</f>
        <v/>
      </c>
    </row>
    <row r="73">
      <c r="A73" s="4">
        <f>A72+1</f>
        <v/>
      </c>
      <c r="B73" s="4">
        <f>B72+$B$6</f>
        <v/>
      </c>
      <c r="C73" s="4">
        <f>C72+($B$6/2)*(D72+F72)</f>
        <v/>
      </c>
      <c r="D73" s="4">
        <f>$B$3*C73^(3/4)*(1-(C73/$B$4)^(1/4))</f>
        <v/>
      </c>
      <c r="E73" s="4">
        <f>C73+$B$6*D73</f>
        <v/>
      </c>
      <c r="F73" s="4">
        <f>$B$3*E73^(3/4)*(1-(E73/$B$4)^(1/4))</f>
        <v/>
      </c>
      <c r="G73" s="4">
        <f>( $B$8 + ($B$9-$B$8)*EXP(-$B$3*B73/(4*$B$8)) )^4</f>
        <v/>
      </c>
      <c r="H73" s="4">
        <f>ABS(C73-G73)</f>
        <v/>
      </c>
    </row>
    <row r="74">
      <c r="A74" s="4">
        <f>A73+1</f>
        <v/>
      </c>
      <c r="B74" s="4">
        <f>B73+$B$6</f>
        <v/>
      </c>
      <c r="C74" s="4">
        <f>C73+($B$6/2)*(D73+F73)</f>
        <v/>
      </c>
      <c r="D74" s="4">
        <f>$B$3*C74^(3/4)*(1-(C74/$B$4)^(1/4))</f>
        <v/>
      </c>
      <c r="E74" s="4">
        <f>C74+$B$6*D74</f>
        <v/>
      </c>
      <c r="F74" s="4">
        <f>$B$3*E74^(3/4)*(1-(E74/$B$4)^(1/4))</f>
        <v/>
      </c>
      <c r="G74" s="4">
        <f>( $B$8 + ($B$9-$B$8)*EXP(-$B$3*B74/(4*$B$8)) )^4</f>
        <v/>
      </c>
      <c r="H74" s="4">
        <f>ABS(C74-G74)</f>
        <v/>
      </c>
    </row>
    <row r="75">
      <c r="A75" s="4">
        <f>A74+1</f>
        <v/>
      </c>
      <c r="B75" s="4">
        <f>B74+$B$6</f>
        <v/>
      </c>
      <c r="C75" s="4">
        <f>C74+($B$6/2)*(D74+F74)</f>
        <v/>
      </c>
      <c r="D75" s="4">
        <f>$B$3*C75^(3/4)*(1-(C75/$B$4)^(1/4))</f>
        <v/>
      </c>
      <c r="E75" s="4">
        <f>C75+$B$6*D75</f>
        <v/>
      </c>
      <c r="F75" s="4">
        <f>$B$3*E75^(3/4)*(1-(E75/$B$4)^(1/4))</f>
        <v/>
      </c>
      <c r="G75" s="4">
        <f>( $B$8 + ($B$9-$B$8)*EXP(-$B$3*B75/(4*$B$8)) )^4</f>
        <v/>
      </c>
      <c r="H75" s="4">
        <f>ABS(C75-G75)</f>
        <v/>
      </c>
    </row>
    <row r="76">
      <c r="A76" s="4">
        <f>A75+1</f>
        <v/>
      </c>
      <c r="B76" s="4">
        <f>B75+$B$6</f>
        <v/>
      </c>
      <c r="C76" s="4">
        <f>C75+($B$6/2)*(D75+F75)</f>
        <v/>
      </c>
      <c r="D76" s="4">
        <f>$B$3*C76^(3/4)*(1-(C76/$B$4)^(1/4))</f>
        <v/>
      </c>
      <c r="E76" s="4">
        <f>C76+$B$6*D76</f>
        <v/>
      </c>
      <c r="F76" s="4">
        <f>$B$3*E76^(3/4)*(1-(E76/$B$4)^(1/4))</f>
        <v/>
      </c>
      <c r="G76" s="4">
        <f>( $B$8 + ($B$9-$B$8)*EXP(-$B$3*B76/(4*$B$8)) )^4</f>
        <v/>
      </c>
      <c r="H76" s="4">
        <f>ABS(C76-G76)</f>
        <v/>
      </c>
    </row>
    <row r="77">
      <c r="A77" s="4">
        <f>A76+1</f>
        <v/>
      </c>
      <c r="B77" s="4">
        <f>B76+$B$6</f>
        <v/>
      </c>
      <c r="C77" s="4">
        <f>C76+($B$6/2)*(D76+F76)</f>
        <v/>
      </c>
      <c r="D77" s="4">
        <f>$B$3*C77^(3/4)*(1-(C77/$B$4)^(1/4))</f>
        <v/>
      </c>
      <c r="E77" s="4">
        <f>C77+$B$6*D77</f>
        <v/>
      </c>
      <c r="F77" s="4">
        <f>$B$3*E77^(3/4)*(1-(E77/$B$4)^(1/4))</f>
        <v/>
      </c>
      <c r="G77" s="4">
        <f>( $B$8 + ($B$9-$B$8)*EXP(-$B$3*B77/(4*$B$8)) )^4</f>
        <v/>
      </c>
      <c r="H77" s="4">
        <f>ABS(C77-G77)</f>
        <v/>
      </c>
    </row>
    <row r="78">
      <c r="A78" s="4">
        <f>A77+1</f>
        <v/>
      </c>
      <c r="B78" s="4">
        <f>B77+$B$6</f>
        <v/>
      </c>
      <c r="C78" s="4">
        <f>C77+($B$6/2)*(D77+F77)</f>
        <v/>
      </c>
      <c r="D78" s="4">
        <f>$B$3*C78^(3/4)*(1-(C78/$B$4)^(1/4))</f>
        <v/>
      </c>
      <c r="E78" s="4">
        <f>C78+$B$6*D78</f>
        <v/>
      </c>
      <c r="F78" s="4">
        <f>$B$3*E78^(3/4)*(1-(E78/$B$4)^(1/4))</f>
        <v/>
      </c>
      <c r="G78" s="4">
        <f>( $B$8 + ($B$9-$B$8)*EXP(-$B$3*B78/(4*$B$8)) )^4</f>
        <v/>
      </c>
      <c r="H78" s="4">
        <f>ABS(C78-G78)</f>
        <v/>
      </c>
    </row>
    <row r="79">
      <c r="A79" s="4">
        <f>A78+1</f>
        <v/>
      </c>
      <c r="B79" s="4">
        <f>B78+$B$6</f>
        <v/>
      </c>
      <c r="C79" s="4">
        <f>C78+($B$6/2)*(D78+F78)</f>
        <v/>
      </c>
      <c r="D79" s="4">
        <f>$B$3*C79^(3/4)*(1-(C79/$B$4)^(1/4))</f>
        <v/>
      </c>
      <c r="E79" s="4">
        <f>C79+$B$6*D79</f>
        <v/>
      </c>
      <c r="F79" s="4">
        <f>$B$3*E79^(3/4)*(1-(E79/$B$4)^(1/4))</f>
        <v/>
      </c>
      <c r="G79" s="4">
        <f>( $B$8 + ($B$9-$B$8)*EXP(-$B$3*B79/(4*$B$8)) )^4</f>
        <v/>
      </c>
      <c r="H79" s="4">
        <f>ABS(C79-G79)</f>
        <v/>
      </c>
    </row>
    <row r="80">
      <c r="A80" s="4">
        <f>A79+1</f>
        <v/>
      </c>
      <c r="B80" s="4">
        <f>B79+$B$6</f>
        <v/>
      </c>
      <c r="C80" s="4">
        <f>C79+($B$6/2)*(D79+F79)</f>
        <v/>
      </c>
      <c r="D80" s="4">
        <f>$B$3*C80^(3/4)*(1-(C80/$B$4)^(1/4))</f>
        <v/>
      </c>
      <c r="E80" s="4">
        <f>C80+$B$6*D80</f>
        <v/>
      </c>
      <c r="F80" s="4">
        <f>$B$3*E80^(3/4)*(1-(E80/$B$4)^(1/4))</f>
        <v/>
      </c>
      <c r="G80" s="4">
        <f>( $B$8 + ($B$9-$B$8)*EXP(-$B$3*B80/(4*$B$8)) )^4</f>
        <v/>
      </c>
      <c r="H80" s="4">
        <f>ABS(C80-G80)</f>
        <v/>
      </c>
    </row>
    <row r="81">
      <c r="A81" s="4">
        <f>A80+1</f>
        <v/>
      </c>
      <c r="B81" s="4">
        <f>B80+$B$6</f>
        <v/>
      </c>
      <c r="C81" s="4">
        <f>C80+($B$6/2)*(D80+F80)</f>
        <v/>
      </c>
      <c r="D81" s="4">
        <f>$B$3*C81^(3/4)*(1-(C81/$B$4)^(1/4))</f>
        <v/>
      </c>
      <c r="E81" s="4">
        <f>C81+$B$6*D81</f>
        <v/>
      </c>
      <c r="F81" s="4">
        <f>$B$3*E81^(3/4)*(1-(E81/$B$4)^(1/4))</f>
        <v/>
      </c>
      <c r="G81" s="4">
        <f>( $B$8 + ($B$9-$B$8)*EXP(-$B$3*B81/(4*$B$8)) )^4</f>
        <v/>
      </c>
      <c r="H81" s="4">
        <f>ABS(C81-G81)</f>
        <v/>
      </c>
    </row>
    <row r="82">
      <c r="A82" s="4">
        <f>A81+1</f>
        <v/>
      </c>
      <c r="B82" s="4">
        <f>B81+$B$6</f>
        <v/>
      </c>
      <c r="C82" s="4">
        <f>C81+($B$6/2)*(D81+F81)</f>
        <v/>
      </c>
      <c r="D82" s="4">
        <f>$B$3*C82^(3/4)*(1-(C82/$B$4)^(1/4))</f>
        <v/>
      </c>
      <c r="E82" s="4">
        <f>C82+$B$6*D82</f>
        <v/>
      </c>
      <c r="F82" s="4">
        <f>$B$3*E82^(3/4)*(1-(E82/$B$4)^(1/4))</f>
        <v/>
      </c>
      <c r="G82" s="4">
        <f>( $B$8 + ($B$9-$B$8)*EXP(-$B$3*B82/(4*$B$8)) )^4</f>
        <v/>
      </c>
      <c r="H82" s="4">
        <f>ABS(C82-G82)</f>
        <v/>
      </c>
    </row>
    <row r="83">
      <c r="A83" s="4">
        <f>A82+1</f>
        <v/>
      </c>
      <c r="B83" s="4">
        <f>B82+$B$6</f>
        <v/>
      </c>
      <c r="C83" s="4">
        <f>C82+($B$6/2)*(D82+F82)</f>
        <v/>
      </c>
      <c r="D83" s="4">
        <f>$B$3*C83^(3/4)*(1-(C83/$B$4)^(1/4))</f>
        <v/>
      </c>
      <c r="E83" s="4">
        <f>C83+$B$6*D83</f>
        <v/>
      </c>
      <c r="F83" s="4">
        <f>$B$3*E83^(3/4)*(1-(E83/$B$4)^(1/4))</f>
        <v/>
      </c>
      <c r="G83" s="4">
        <f>( $B$8 + ($B$9-$B$8)*EXP(-$B$3*B83/(4*$B$8)) )^4</f>
        <v/>
      </c>
      <c r="H83" s="4">
        <f>ABS(C83-G83)</f>
        <v/>
      </c>
    </row>
    <row r="84">
      <c r="A84" s="4">
        <f>A83+1</f>
        <v/>
      </c>
      <c r="B84" s="4">
        <f>B83+$B$6</f>
        <v/>
      </c>
      <c r="C84" s="4">
        <f>C83+($B$6/2)*(D83+F83)</f>
        <v/>
      </c>
      <c r="D84" s="4">
        <f>$B$3*C84^(3/4)*(1-(C84/$B$4)^(1/4))</f>
        <v/>
      </c>
      <c r="E84" s="4">
        <f>C84+$B$6*D84</f>
        <v/>
      </c>
      <c r="F84" s="4">
        <f>$B$3*E84^(3/4)*(1-(E84/$B$4)^(1/4))</f>
        <v/>
      </c>
      <c r="G84" s="4">
        <f>( $B$8 + ($B$9-$B$8)*EXP(-$B$3*B84/(4*$B$8)) )^4</f>
        <v/>
      </c>
      <c r="H84" s="4">
        <f>ABS(C84-G84)</f>
        <v/>
      </c>
    </row>
    <row r="85">
      <c r="A85" s="4">
        <f>A84+1</f>
        <v/>
      </c>
      <c r="B85" s="4">
        <f>B84+$B$6</f>
        <v/>
      </c>
      <c r="C85" s="4">
        <f>C84+($B$6/2)*(D84+F84)</f>
        <v/>
      </c>
      <c r="D85" s="4">
        <f>$B$3*C85^(3/4)*(1-(C85/$B$4)^(1/4))</f>
        <v/>
      </c>
      <c r="E85" s="4">
        <f>C85+$B$6*D85</f>
        <v/>
      </c>
      <c r="F85" s="4">
        <f>$B$3*E85^(3/4)*(1-(E85/$B$4)^(1/4))</f>
        <v/>
      </c>
      <c r="G85" s="4">
        <f>( $B$8 + ($B$9-$B$8)*EXP(-$B$3*B85/(4*$B$8)) )^4</f>
        <v/>
      </c>
      <c r="H85" s="4">
        <f>ABS(C85-G85)</f>
        <v/>
      </c>
    </row>
    <row r="86">
      <c r="A86" s="4">
        <f>A85+1</f>
        <v/>
      </c>
      <c r="B86" s="4">
        <f>B85+$B$6</f>
        <v/>
      </c>
      <c r="C86" s="4">
        <f>C85+($B$6/2)*(D85+F85)</f>
        <v/>
      </c>
      <c r="D86" s="4">
        <f>$B$3*C86^(3/4)*(1-(C86/$B$4)^(1/4))</f>
        <v/>
      </c>
      <c r="E86" s="4">
        <f>C86+$B$6*D86</f>
        <v/>
      </c>
      <c r="F86" s="4">
        <f>$B$3*E86^(3/4)*(1-(E86/$B$4)^(1/4))</f>
        <v/>
      </c>
      <c r="G86" s="4">
        <f>( $B$8 + ($B$9-$B$8)*EXP(-$B$3*B86/(4*$B$8)) )^4</f>
        <v/>
      </c>
      <c r="H86" s="4">
        <f>ABS(C86-G86)</f>
        <v/>
      </c>
    </row>
    <row r="87">
      <c r="A87" s="4">
        <f>A86+1</f>
        <v/>
      </c>
      <c r="B87" s="4">
        <f>B86+$B$6</f>
        <v/>
      </c>
      <c r="C87" s="4">
        <f>C86+($B$6/2)*(D86+F86)</f>
        <v/>
      </c>
      <c r="D87" s="4">
        <f>$B$3*C87^(3/4)*(1-(C87/$B$4)^(1/4))</f>
        <v/>
      </c>
      <c r="E87" s="4">
        <f>C87+$B$6*D87</f>
        <v/>
      </c>
      <c r="F87" s="4">
        <f>$B$3*E87^(3/4)*(1-(E87/$B$4)^(1/4))</f>
        <v/>
      </c>
      <c r="G87" s="4">
        <f>( $B$8 + ($B$9-$B$8)*EXP(-$B$3*B87/(4*$B$8)) )^4</f>
        <v/>
      </c>
      <c r="H87" s="4">
        <f>ABS(C87-G87)</f>
        <v/>
      </c>
    </row>
    <row r="88">
      <c r="A88" s="4">
        <f>A87+1</f>
        <v/>
      </c>
      <c r="B88" s="4">
        <f>B87+$B$6</f>
        <v/>
      </c>
      <c r="C88" s="4">
        <f>C87+($B$6/2)*(D87+F87)</f>
        <v/>
      </c>
      <c r="D88" s="4">
        <f>$B$3*C88^(3/4)*(1-(C88/$B$4)^(1/4))</f>
        <v/>
      </c>
      <c r="E88" s="4">
        <f>C88+$B$6*D88</f>
        <v/>
      </c>
      <c r="F88" s="4">
        <f>$B$3*E88^(3/4)*(1-(E88/$B$4)^(1/4))</f>
        <v/>
      </c>
      <c r="G88" s="4">
        <f>( $B$8 + ($B$9-$B$8)*EXP(-$B$3*B88/(4*$B$8)) )^4</f>
        <v/>
      </c>
      <c r="H88" s="4">
        <f>ABS(C88-G88)</f>
        <v/>
      </c>
    </row>
    <row r="89">
      <c r="A89" s="4">
        <f>A88+1</f>
        <v/>
      </c>
      <c r="B89" s="4">
        <f>B88+$B$6</f>
        <v/>
      </c>
      <c r="C89" s="4">
        <f>C88+($B$6/2)*(D88+F88)</f>
        <v/>
      </c>
      <c r="D89" s="4">
        <f>$B$3*C89^(3/4)*(1-(C89/$B$4)^(1/4))</f>
        <v/>
      </c>
      <c r="E89" s="4">
        <f>C89+$B$6*D89</f>
        <v/>
      </c>
      <c r="F89" s="4">
        <f>$B$3*E89^(3/4)*(1-(E89/$B$4)^(1/4))</f>
        <v/>
      </c>
      <c r="G89" s="4">
        <f>( $B$8 + ($B$9-$B$8)*EXP(-$B$3*B89/(4*$B$8)) )^4</f>
        <v/>
      </c>
      <c r="H89" s="4">
        <f>ABS(C89-G89)</f>
        <v/>
      </c>
    </row>
    <row r="90">
      <c r="A90" s="4">
        <f>A89+1</f>
        <v/>
      </c>
      <c r="B90" s="4">
        <f>B89+$B$6</f>
        <v/>
      </c>
      <c r="C90" s="4">
        <f>C89+($B$6/2)*(D89+F89)</f>
        <v/>
      </c>
      <c r="D90" s="4">
        <f>$B$3*C90^(3/4)*(1-(C90/$B$4)^(1/4))</f>
        <v/>
      </c>
      <c r="E90" s="4">
        <f>C90+$B$6*D90</f>
        <v/>
      </c>
      <c r="F90" s="4">
        <f>$B$3*E90^(3/4)*(1-(E90/$B$4)^(1/4))</f>
        <v/>
      </c>
      <c r="G90" s="4">
        <f>( $B$8 + ($B$9-$B$8)*EXP(-$B$3*B90/(4*$B$8)) )^4</f>
        <v/>
      </c>
      <c r="H90" s="4">
        <f>ABS(C90-G90)</f>
        <v/>
      </c>
    </row>
    <row r="91">
      <c r="A91" s="4">
        <f>A90+1</f>
        <v/>
      </c>
      <c r="B91" s="4">
        <f>B90+$B$6</f>
        <v/>
      </c>
      <c r="C91" s="4">
        <f>C90+($B$6/2)*(D90+F90)</f>
        <v/>
      </c>
      <c r="D91" s="4">
        <f>$B$3*C91^(3/4)*(1-(C91/$B$4)^(1/4))</f>
        <v/>
      </c>
      <c r="E91" s="4">
        <f>C91+$B$6*D91</f>
        <v/>
      </c>
      <c r="F91" s="4">
        <f>$B$3*E91^(3/4)*(1-(E91/$B$4)^(1/4))</f>
        <v/>
      </c>
      <c r="G91" s="4">
        <f>( $B$8 + ($B$9-$B$8)*EXP(-$B$3*B91/(4*$B$8)) )^4</f>
        <v/>
      </c>
      <c r="H91" s="4">
        <f>ABS(C91-G91)</f>
        <v/>
      </c>
    </row>
    <row r="92">
      <c r="A92" s="4">
        <f>A91+1</f>
        <v/>
      </c>
      <c r="B92" s="4">
        <f>B91+$B$6</f>
        <v/>
      </c>
      <c r="C92" s="4">
        <f>C91+($B$6/2)*(D91+F91)</f>
        <v/>
      </c>
      <c r="D92" s="4">
        <f>$B$3*C92^(3/4)*(1-(C92/$B$4)^(1/4))</f>
        <v/>
      </c>
      <c r="E92" s="4">
        <f>C92+$B$6*D92</f>
        <v/>
      </c>
      <c r="F92" s="4">
        <f>$B$3*E92^(3/4)*(1-(E92/$B$4)^(1/4))</f>
        <v/>
      </c>
      <c r="G92" s="4">
        <f>( $B$8 + ($B$9-$B$8)*EXP(-$B$3*B92/(4*$B$8)) )^4</f>
        <v/>
      </c>
      <c r="H92" s="4">
        <f>ABS(C92-G92)</f>
        <v/>
      </c>
    </row>
    <row r="93">
      <c r="A93" s="4">
        <f>A92+1</f>
        <v/>
      </c>
      <c r="B93" s="4">
        <f>B92+$B$6</f>
        <v/>
      </c>
      <c r="C93" s="4">
        <f>C92+($B$6/2)*(D92+F92)</f>
        <v/>
      </c>
      <c r="D93" s="4">
        <f>$B$3*C93^(3/4)*(1-(C93/$B$4)^(1/4))</f>
        <v/>
      </c>
      <c r="E93" s="4">
        <f>C93+$B$6*D93</f>
        <v/>
      </c>
      <c r="F93" s="4">
        <f>$B$3*E93^(3/4)*(1-(E93/$B$4)^(1/4))</f>
        <v/>
      </c>
      <c r="G93" s="4">
        <f>( $B$8 + ($B$9-$B$8)*EXP(-$B$3*B93/(4*$B$8)) )^4</f>
        <v/>
      </c>
      <c r="H93" s="4">
        <f>ABS(C93-G93)</f>
        <v/>
      </c>
    </row>
    <row r="94">
      <c r="A94" s="4">
        <f>A93+1</f>
        <v/>
      </c>
      <c r="B94" s="4">
        <f>B93+$B$6</f>
        <v/>
      </c>
      <c r="C94" s="4">
        <f>C93+($B$6/2)*(D93+F93)</f>
        <v/>
      </c>
      <c r="D94" s="4">
        <f>$B$3*C94^(3/4)*(1-(C94/$B$4)^(1/4))</f>
        <v/>
      </c>
      <c r="E94" s="4">
        <f>C94+$B$6*D94</f>
        <v/>
      </c>
      <c r="F94" s="4">
        <f>$B$3*E94^(3/4)*(1-(E94/$B$4)^(1/4))</f>
        <v/>
      </c>
      <c r="G94" s="4">
        <f>( $B$8 + ($B$9-$B$8)*EXP(-$B$3*B94/(4*$B$8)) )^4</f>
        <v/>
      </c>
      <c r="H94" s="4">
        <f>ABS(C94-G94)</f>
        <v/>
      </c>
    </row>
    <row r="95">
      <c r="A95" s="4">
        <f>A94+1</f>
        <v/>
      </c>
      <c r="B95" s="4">
        <f>B94+$B$6</f>
        <v/>
      </c>
      <c r="C95" s="4">
        <f>C94+($B$6/2)*(D94+F94)</f>
        <v/>
      </c>
      <c r="D95" s="4">
        <f>$B$3*C95^(3/4)*(1-(C95/$B$4)^(1/4))</f>
        <v/>
      </c>
      <c r="E95" s="4">
        <f>C95+$B$6*D95</f>
        <v/>
      </c>
      <c r="F95" s="4">
        <f>$B$3*E95^(3/4)*(1-(E95/$B$4)^(1/4))</f>
        <v/>
      </c>
      <c r="G95" s="4">
        <f>( $B$8 + ($B$9-$B$8)*EXP(-$B$3*B95/(4*$B$8)) )^4</f>
        <v/>
      </c>
      <c r="H95" s="4">
        <f>ABS(C95-G95)</f>
        <v/>
      </c>
    </row>
    <row r="96">
      <c r="A96" s="4">
        <f>A95+1</f>
        <v/>
      </c>
      <c r="B96" s="4">
        <f>B95+$B$6</f>
        <v/>
      </c>
      <c r="C96" s="4">
        <f>C95+($B$6/2)*(D95+F95)</f>
        <v/>
      </c>
      <c r="D96" s="4">
        <f>$B$3*C96^(3/4)*(1-(C96/$B$4)^(1/4))</f>
        <v/>
      </c>
      <c r="E96" s="4">
        <f>C96+$B$6*D96</f>
        <v/>
      </c>
      <c r="F96" s="4">
        <f>$B$3*E96^(3/4)*(1-(E96/$B$4)^(1/4))</f>
        <v/>
      </c>
      <c r="G96" s="4">
        <f>( $B$8 + ($B$9-$B$8)*EXP(-$B$3*B96/(4*$B$8)) )^4</f>
        <v/>
      </c>
      <c r="H96" s="4">
        <f>ABS(C96-G96)</f>
        <v/>
      </c>
    </row>
    <row r="97">
      <c r="A97" s="4">
        <f>A96+1</f>
        <v/>
      </c>
      <c r="B97" s="4">
        <f>B96+$B$6</f>
        <v/>
      </c>
      <c r="C97" s="4">
        <f>C96+($B$6/2)*(D96+F96)</f>
        <v/>
      </c>
      <c r="D97" s="4">
        <f>$B$3*C97^(3/4)*(1-(C97/$B$4)^(1/4))</f>
        <v/>
      </c>
      <c r="E97" s="4">
        <f>C97+$B$6*D97</f>
        <v/>
      </c>
      <c r="F97" s="4">
        <f>$B$3*E97^(3/4)*(1-(E97/$B$4)^(1/4))</f>
        <v/>
      </c>
      <c r="G97" s="4">
        <f>( $B$8 + ($B$9-$B$8)*EXP(-$B$3*B97/(4*$B$8)) )^4</f>
        <v/>
      </c>
      <c r="H97" s="4">
        <f>ABS(C97-G97)</f>
        <v/>
      </c>
    </row>
    <row r="98">
      <c r="A98" s="4">
        <f>A97+1</f>
        <v/>
      </c>
      <c r="B98" s="4">
        <f>B97+$B$6</f>
        <v/>
      </c>
      <c r="C98" s="4">
        <f>C97+($B$6/2)*(D97+F97)</f>
        <v/>
      </c>
      <c r="D98" s="4">
        <f>$B$3*C98^(3/4)*(1-(C98/$B$4)^(1/4))</f>
        <v/>
      </c>
      <c r="E98" s="4">
        <f>C98+$B$6*D98</f>
        <v/>
      </c>
      <c r="F98" s="4">
        <f>$B$3*E98^(3/4)*(1-(E98/$B$4)^(1/4))</f>
        <v/>
      </c>
      <c r="G98" s="4">
        <f>( $B$8 + ($B$9-$B$8)*EXP(-$B$3*B98/(4*$B$8)) )^4</f>
        <v/>
      </c>
      <c r="H98" s="4">
        <f>ABS(C98-G98)</f>
        <v/>
      </c>
    </row>
    <row r="99">
      <c r="A99" s="4">
        <f>A98+1</f>
        <v/>
      </c>
      <c r="B99" s="4">
        <f>B98+$B$6</f>
        <v/>
      </c>
      <c r="C99" s="4">
        <f>C98+($B$6/2)*(D98+F98)</f>
        <v/>
      </c>
      <c r="D99" s="4">
        <f>$B$3*C99^(3/4)*(1-(C99/$B$4)^(1/4))</f>
        <v/>
      </c>
      <c r="E99" s="4">
        <f>C99+$B$6*D99</f>
        <v/>
      </c>
      <c r="F99" s="4">
        <f>$B$3*E99^(3/4)*(1-(E99/$B$4)^(1/4))</f>
        <v/>
      </c>
      <c r="G99" s="4">
        <f>( $B$8 + ($B$9-$B$8)*EXP(-$B$3*B99/(4*$B$8)) )^4</f>
        <v/>
      </c>
      <c r="H99" s="4">
        <f>ABS(C99-G99)</f>
        <v/>
      </c>
    </row>
    <row r="100">
      <c r="A100" s="4">
        <f>A99+1</f>
        <v/>
      </c>
      <c r="B100" s="4">
        <f>B99+$B$6</f>
        <v/>
      </c>
      <c r="C100" s="4">
        <f>C99+($B$6/2)*(D99+F99)</f>
        <v/>
      </c>
      <c r="D100" s="4">
        <f>$B$3*C100^(3/4)*(1-(C100/$B$4)^(1/4))</f>
        <v/>
      </c>
      <c r="E100" s="4">
        <f>C100+$B$6*D100</f>
        <v/>
      </c>
      <c r="F100" s="4">
        <f>$B$3*E100^(3/4)*(1-(E100/$B$4)^(1/4))</f>
        <v/>
      </c>
      <c r="G100" s="4">
        <f>( $B$8 + ($B$9-$B$8)*EXP(-$B$3*B100/(4*$B$8)) )^4</f>
        <v/>
      </c>
      <c r="H100" s="4">
        <f>ABS(C100-G100)</f>
        <v/>
      </c>
    </row>
    <row r="101">
      <c r="A101" s="4">
        <f>A100+1</f>
        <v/>
      </c>
      <c r="B101" s="4">
        <f>B100+$B$6</f>
        <v/>
      </c>
      <c r="C101" s="4">
        <f>C100+($B$6/2)*(D100+F100)</f>
        <v/>
      </c>
      <c r="D101" s="4">
        <f>$B$3*C101^(3/4)*(1-(C101/$B$4)^(1/4))</f>
        <v/>
      </c>
      <c r="E101" s="4">
        <f>C101+$B$6*D101</f>
        <v/>
      </c>
      <c r="F101" s="4">
        <f>$B$3*E101^(3/4)*(1-(E101/$B$4)^(1/4))</f>
        <v/>
      </c>
      <c r="G101" s="4">
        <f>( $B$8 + ($B$9-$B$8)*EXP(-$B$3*B101/(4*$B$8)) )^4</f>
        <v/>
      </c>
      <c r="H101" s="4">
        <f>ABS(C101-G101)</f>
        <v/>
      </c>
    </row>
    <row r="102">
      <c r="A102" s="4">
        <f>A101+1</f>
        <v/>
      </c>
      <c r="B102" s="4">
        <f>B101+$B$6</f>
        <v/>
      </c>
      <c r="C102" s="4">
        <f>C101+($B$6/2)*(D101+F101)</f>
        <v/>
      </c>
      <c r="D102" s="4">
        <f>$B$3*C102^(3/4)*(1-(C102/$B$4)^(1/4))</f>
        <v/>
      </c>
      <c r="E102" s="4">
        <f>C102+$B$6*D102</f>
        <v/>
      </c>
      <c r="F102" s="4">
        <f>$B$3*E102^(3/4)*(1-(E102/$B$4)^(1/4))</f>
        <v/>
      </c>
      <c r="G102" s="4">
        <f>( $B$8 + ($B$9-$B$8)*EXP(-$B$3*B102/(4*$B$8)) )^4</f>
        <v/>
      </c>
      <c r="H102" s="4">
        <f>ABS(C102-G102)</f>
        <v/>
      </c>
    </row>
    <row r="103">
      <c r="A103" s="4">
        <f>A102+1</f>
        <v/>
      </c>
      <c r="B103" s="4">
        <f>B102+$B$6</f>
        <v/>
      </c>
      <c r="C103" s="4">
        <f>C102+($B$6/2)*(D102+F102)</f>
        <v/>
      </c>
      <c r="D103" s="4">
        <f>$B$3*C103^(3/4)*(1-(C103/$B$4)^(1/4))</f>
        <v/>
      </c>
      <c r="E103" s="4">
        <f>C103+$B$6*D103</f>
        <v/>
      </c>
      <c r="F103" s="4">
        <f>$B$3*E103^(3/4)*(1-(E103/$B$4)^(1/4))</f>
        <v/>
      </c>
      <c r="G103" s="4">
        <f>( $B$8 + ($B$9-$B$8)*EXP(-$B$3*B103/(4*$B$8)) )^4</f>
        <v/>
      </c>
      <c r="H103" s="4">
        <f>ABS(C103-G103)</f>
        <v/>
      </c>
    </row>
    <row r="104">
      <c r="A104" s="4">
        <f>A103+1</f>
        <v/>
      </c>
      <c r="B104" s="4">
        <f>B103+$B$6</f>
        <v/>
      </c>
      <c r="C104" s="4">
        <f>C103+($B$6/2)*(D103+F103)</f>
        <v/>
      </c>
      <c r="D104" s="4">
        <f>$B$3*C104^(3/4)*(1-(C104/$B$4)^(1/4))</f>
        <v/>
      </c>
      <c r="E104" s="4">
        <f>C104+$B$6*D104</f>
        <v/>
      </c>
      <c r="F104" s="4">
        <f>$B$3*E104^(3/4)*(1-(E104/$B$4)^(1/4))</f>
        <v/>
      </c>
      <c r="G104" s="4">
        <f>( $B$8 + ($B$9-$B$8)*EXP(-$B$3*B104/(4*$B$8)) )^4</f>
        <v/>
      </c>
      <c r="H104" s="4">
        <f>ABS(C104-G104)</f>
        <v/>
      </c>
    </row>
    <row r="105">
      <c r="A105" s="4">
        <f>A104+1</f>
        <v/>
      </c>
      <c r="B105" s="4">
        <f>B104+$B$6</f>
        <v/>
      </c>
      <c r="C105" s="4">
        <f>C104+($B$6/2)*(D104+F104)</f>
        <v/>
      </c>
      <c r="D105" s="4">
        <f>$B$3*C105^(3/4)*(1-(C105/$B$4)^(1/4))</f>
        <v/>
      </c>
      <c r="E105" s="4">
        <f>C105+$B$6*D105</f>
        <v/>
      </c>
      <c r="F105" s="4">
        <f>$B$3*E105^(3/4)*(1-(E105/$B$4)^(1/4))</f>
        <v/>
      </c>
      <c r="G105" s="4">
        <f>( $B$8 + ($B$9-$B$8)*EXP(-$B$3*B105/(4*$B$8)) )^4</f>
        <v/>
      </c>
      <c r="H105" s="4">
        <f>ABS(C105-G105)</f>
        <v/>
      </c>
    </row>
    <row r="106">
      <c r="A106" s="4">
        <f>A105+1</f>
        <v/>
      </c>
      <c r="B106" s="4">
        <f>B105+$B$6</f>
        <v/>
      </c>
      <c r="C106" s="4">
        <f>C105+($B$6/2)*(D105+F105)</f>
        <v/>
      </c>
      <c r="D106" s="4">
        <f>$B$3*C106^(3/4)*(1-(C106/$B$4)^(1/4))</f>
        <v/>
      </c>
      <c r="E106" s="4">
        <f>C106+$B$6*D106</f>
        <v/>
      </c>
      <c r="F106" s="4">
        <f>$B$3*E106^(3/4)*(1-(E106/$B$4)^(1/4))</f>
        <v/>
      </c>
      <c r="G106" s="4">
        <f>( $B$8 + ($B$9-$B$8)*EXP(-$B$3*B106/(4*$B$8)) )^4</f>
        <v/>
      </c>
      <c r="H106" s="4">
        <f>ABS(C106-G106)</f>
        <v/>
      </c>
    </row>
    <row r="107">
      <c r="A107" s="4">
        <f>A106+1</f>
        <v/>
      </c>
      <c r="B107" s="4">
        <f>B106+$B$6</f>
        <v/>
      </c>
      <c r="C107" s="4">
        <f>C106+($B$6/2)*(D106+F106)</f>
        <v/>
      </c>
      <c r="D107" s="4">
        <f>$B$3*C107^(3/4)*(1-(C107/$B$4)^(1/4))</f>
        <v/>
      </c>
      <c r="E107" s="4">
        <f>C107+$B$6*D107</f>
        <v/>
      </c>
      <c r="F107" s="4">
        <f>$B$3*E107^(3/4)*(1-(E107/$B$4)^(1/4))</f>
        <v/>
      </c>
      <c r="G107" s="4">
        <f>( $B$8 + ($B$9-$B$8)*EXP(-$B$3*B107/(4*$B$8)) )^4</f>
        <v/>
      </c>
      <c r="H107" s="4">
        <f>ABS(C107-G107)</f>
        <v/>
      </c>
    </row>
    <row r="108">
      <c r="A108" s="4">
        <f>A107+1</f>
        <v/>
      </c>
      <c r="B108" s="4">
        <f>B107+$B$6</f>
        <v/>
      </c>
      <c r="C108" s="4">
        <f>C107+($B$6/2)*(D107+F107)</f>
        <v/>
      </c>
      <c r="D108" s="4">
        <f>$B$3*C108^(3/4)*(1-(C108/$B$4)^(1/4))</f>
        <v/>
      </c>
      <c r="E108" s="4">
        <f>C108+$B$6*D108</f>
        <v/>
      </c>
      <c r="F108" s="4">
        <f>$B$3*E108^(3/4)*(1-(E108/$B$4)^(1/4))</f>
        <v/>
      </c>
      <c r="G108" s="4">
        <f>( $B$8 + ($B$9-$B$8)*EXP(-$B$3*B108/(4*$B$8)) )^4</f>
        <v/>
      </c>
      <c r="H108" s="4">
        <f>ABS(C108-G108)</f>
        <v/>
      </c>
    </row>
    <row r="109">
      <c r="A109" s="4">
        <f>A108+1</f>
        <v/>
      </c>
      <c r="B109" s="4">
        <f>B108+$B$6</f>
        <v/>
      </c>
      <c r="C109" s="4">
        <f>C108+($B$6/2)*(D108+F108)</f>
        <v/>
      </c>
      <c r="D109" s="4">
        <f>$B$3*C109^(3/4)*(1-(C109/$B$4)^(1/4))</f>
        <v/>
      </c>
      <c r="E109" s="4">
        <f>C109+$B$6*D109</f>
        <v/>
      </c>
      <c r="F109" s="4">
        <f>$B$3*E109^(3/4)*(1-(E109/$B$4)^(1/4))</f>
        <v/>
      </c>
      <c r="G109" s="4">
        <f>( $B$8 + ($B$9-$B$8)*EXP(-$B$3*B109/(4*$B$8)) )^4</f>
        <v/>
      </c>
      <c r="H109" s="4">
        <f>ABS(C109-G109)</f>
        <v/>
      </c>
    </row>
    <row r="110">
      <c r="A110" s="4">
        <f>A109+1</f>
        <v/>
      </c>
      <c r="B110" s="4">
        <f>B109+$B$6</f>
        <v/>
      </c>
      <c r="C110" s="4">
        <f>C109+($B$6/2)*(D109+F109)</f>
        <v/>
      </c>
      <c r="D110" s="4">
        <f>$B$3*C110^(3/4)*(1-(C110/$B$4)^(1/4))</f>
        <v/>
      </c>
      <c r="E110" s="4">
        <f>C110+$B$6*D110</f>
        <v/>
      </c>
      <c r="F110" s="4">
        <f>$B$3*E110^(3/4)*(1-(E110/$B$4)^(1/4))</f>
        <v/>
      </c>
      <c r="G110" s="4">
        <f>( $B$8 + ($B$9-$B$8)*EXP(-$B$3*B110/(4*$B$8)) )^4</f>
        <v/>
      </c>
      <c r="H110" s="4">
        <f>ABS(C110-G110)</f>
        <v/>
      </c>
    </row>
    <row r="111">
      <c r="A111" s="4">
        <f>A110+1</f>
        <v/>
      </c>
      <c r="B111" s="4">
        <f>B110+$B$6</f>
        <v/>
      </c>
      <c r="C111" s="4">
        <f>C110+($B$6/2)*(D110+F110)</f>
        <v/>
      </c>
      <c r="D111" s="4">
        <f>$B$3*C111^(3/4)*(1-(C111/$B$4)^(1/4))</f>
        <v/>
      </c>
      <c r="E111" s="4">
        <f>C111+$B$6*D111</f>
        <v/>
      </c>
      <c r="F111" s="4">
        <f>$B$3*E111^(3/4)*(1-(E111/$B$4)^(1/4))</f>
        <v/>
      </c>
      <c r="G111" s="4">
        <f>( $B$8 + ($B$9-$B$8)*EXP(-$B$3*B111/(4*$B$8)) )^4</f>
        <v/>
      </c>
      <c r="H111" s="4">
        <f>ABS(C111-G111)</f>
        <v/>
      </c>
    </row>
    <row r="112">
      <c r="A112" s="4">
        <f>A111+1</f>
        <v/>
      </c>
      <c r="B112" s="4">
        <f>B111+$B$6</f>
        <v/>
      </c>
      <c r="C112" s="4">
        <f>C111+($B$6/2)*(D111+F111)</f>
        <v/>
      </c>
      <c r="D112" s="4">
        <f>$B$3*C112^(3/4)*(1-(C112/$B$4)^(1/4))</f>
        <v/>
      </c>
      <c r="E112" s="4">
        <f>C112+$B$6*D112</f>
        <v/>
      </c>
      <c r="F112" s="4">
        <f>$B$3*E112^(3/4)*(1-(E112/$B$4)^(1/4))</f>
        <v/>
      </c>
      <c r="G112" s="4">
        <f>( $B$8 + ($B$9-$B$8)*EXP(-$B$3*B112/(4*$B$8)) )^4</f>
        <v/>
      </c>
      <c r="H112" s="4">
        <f>ABS(C112-G112)</f>
        <v/>
      </c>
    </row>
    <row r="113">
      <c r="A113" s="4">
        <f>A112+1</f>
        <v/>
      </c>
      <c r="B113" s="4">
        <f>B112+$B$6</f>
        <v/>
      </c>
      <c r="C113" s="4">
        <f>C112+($B$6/2)*(D112+F112)</f>
        <v/>
      </c>
      <c r="D113" s="4">
        <f>$B$3*C113^(3/4)*(1-(C113/$B$4)^(1/4))</f>
        <v/>
      </c>
      <c r="E113" s="4">
        <f>C113+$B$6*D113</f>
        <v/>
      </c>
      <c r="F113" s="4">
        <f>$B$3*E113^(3/4)*(1-(E113/$B$4)^(1/4))</f>
        <v/>
      </c>
      <c r="G113" s="4">
        <f>( $B$8 + ($B$9-$B$8)*EXP(-$B$3*B113/(4*$B$8)) )^4</f>
        <v/>
      </c>
      <c r="H113" s="4">
        <f>ABS(C113-G113)</f>
        <v/>
      </c>
    </row>
    <row r="114">
      <c r="A114" s="4">
        <f>A113+1</f>
        <v/>
      </c>
      <c r="B114" s="4">
        <f>B113+$B$6</f>
        <v/>
      </c>
      <c r="C114" s="4">
        <f>C113+($B$6/2)*(D113+F113)</f>
        <v/>
      </c>
      <c r="D114" s="4">
        <f>$B$3*C114^(3/4)*(1-(C114/$B$4)^(1/4))</f>
        <v/>
      </c>
      <c r="E114" s="4">
        <f>C114+$B$6*D114</f>
        <v/>
      </c>
      <c r="F114" s="4">
        <f>$B$3*E114^(3/4)*(1-(E114/$B$4)^(1/4))</f>
        <v/>
      </c>
      <c r="G114" s="4">
        <f>( $B$8 + ($B$9-$B$8)*EXP(-$B$3*B114/(4*$B$8)) )^4</f>
        <v/>
      </c>
      <c r="H114" s="4">
        <f>ABS(C114-G114)</f>
        <v/>
      </c>
    </row>
    <row r="115">
      <c r="A115" s="4">
        <f>A114+1</f>
        <v/>
      </c>
      <c r="B115" s="4">
        <f>B114+$B$6</f>
        <v/>
      </c>
      <c r="C115" s="4">
        <f>C114+($B$6/2)*(D114+F114)</f>
        <v/>
      </c>
      <c r="D115" s="4">
        <f>$B$3*C115^(3/4)*(1-(C115/$B$4)^(1/4))</f>
        <v/>
      </c>
      <c r="E115" s="4">
        <f>C115+$B$6*D115</f>
        <v/>
      </c>
      <c r="F115" s="4">
        <f>$B$3*E115^(3/4)*(1-(E115/$B$4)^(1/4))</f>
        <v/>
      </c>
      <c r="G115" s="4">
        <f>( $B$8 + ($B$9-$B$8)*EXP(-$B$3*B115/(4*$B$8)) )^4</f>
        <v/>
      </c>
      <c r="H115" s="4">
        <f>ABS(C115-G115)</f>
        <v/>
      </c>
    </row>
    <row r="116">
      <c r="A116" s="4">
        <f>A115+1</f>
        <v/>
      </c>
      <c r="B116" s="4">
        <f>B115+$B$6</f>
        <v/>
      </c>
      <c r="C116" s="4">
        <f>C115+($B$6/2)*(D115+F115)</f>
        <v/>
      </c>
      <c r="D116" s="4">
        <f>$B$3*C116^(3/4)*(1-(C116/$B$4)^(1/4))</f>
        <v/>
      </c>
      <c r="E116" s="4">
        <f>C116+$B$6*D116</f>
        <v/>
      </c>
      <c r="F116" s="4">
        <f>$B$3*E116^(3/4)*(1-(E116/$B$4)^(1/4))</f>
        <v/>
      </c>
      <c r="G116" s="4">
        <f>( $B$8 + ($B$9-$B$8)*EXP(-$B$3*B116/(4*$B$8)) )^4</f>
        <v/>
      </c>
      <c r="H116" s="4">
        <f>ABS(C116-G116)</f>
        <v/>
      </c>
    </row>
    <row r="117">
      <c r="A117" s="4">
        <f>A116+1</f>
        <v/>
      </c>
      <c r="B117" s="4">
        <f>B116+$B$6</f>
        <v/>
      </c>
      <c r="C117" s="4">
        <f>C116+($B$6/2)*(D116+F116)</f>
        <v/>
      </c>
      <c r="D117" s="4">
        <f>$B$3*C117^(3/4)*(1-(C117/$B$4)^(1/4))</f>
        <v/>
      </c>
      <c r="E117" s="4">
        <f>C117+$B$6*D117</f>
        <v/>
      </c>
      <c r="F117" s="4">
        <f>$B$3*E117^(3/4)*(1-(E117/$B$4)^(1/4))</f>
        <v/>
      </c>
      <c r="G117" s="4">
        <f>( $B$8 + ($B$9-$B$8)*EXP(-$B$3*B117/(4*$B$8)) )^4</f>
        <v/>
      </c>
      <c r="H117" s="4">
        <f>ABS(C117-G117)</f>
        <v/>
      </c>
    </row>
    <row r="118">
      <c r="A118" s="4">
        <f>A117+1</f>
        <v/>
      </c>
      <c r="B118" s="4">
        <f>B117+$B$6</f>
        <v/>
      </c>
      <c r="C118" s="4">
        <f>C117+($B$6/2)*(D117+F117)</f>
        <v/>
      </c>
      <c r="D118" s="4">
        <f>$B$3*C118^(3/4)*(1-(C118/$B$4)^(1/4))</f>
        <v/>
      </c>
      <c r="E118" s="4">
        <f>C118+$B$6*D118</f>
        <v/>
      </c>
      <c r="F118" s="4">
        <f>$B$3*E118^(3/4)*(1-(E118/$B$4)^(1/4))</f>
        <v/>
      </c>
      <c r="G118" s="4">
        <f>( $B$8 + ($B$9-$B$8)*EXP(-$B$3*B118/(4*$B$8)) )^4</f>
        <v/>
      </c>
      <c r="H118" s="4">
        <f>ABS(C118-G118)</f>
        <v/>
      </c>
    </row>
    <row r="119">
      <c r="A119" s="4">
        <f>A118+1</f>
        <v/>
      </c>
      <c r="B119" s="4">
        <f>B118+$B$6</f>
        <v/>
      </c>
      <c r="C119" s="4">
        <f>C118+($B$6/2)*(D118+F118)</f>
        <v/>
      </c>
      <c r="D119" s="4">
        <f>$B$3*C119^(3/4)*(1-(C119/$B$4)^(1/4))</f>
        <v/>
      </c>
      <c r="E119" s="4">
        <f>C119+$B$6*D119</f>
        <v/>
      </c>
      <c r="F119" s="4">
        <f>$B$3*E119^(3/4)*(1-(E119/$B$4)^(1/4))</f>
        <v/>
      </c>
      <c r="G119" s="4">
        <f>( $B$8 + ($B$9-$B$8)*EXP(-$B$3*B119/(4*$B$8)) )^4</f>
        <v/>
      </c>
      <c r="H119" s="4">
        <f>ABS(C119-G119)</f>
        <v/>
      </c>
    </row>
    <row r="120">
      <c r="A120" s="4">
        <f>A119+1</f>
        <v/>
      </c>
      <c r="B120" s="4">
        <f>B119+$B$6</f>
        <v/>
      </c>
      <c r="C120" s="4">
        <f>C119+($B$6/2)*(D119+F119)</f>
        <v/>
      </c>
      <c r="D120" s="4">
        <f>$B$3*C120^(3/4)*(1-(C120/$B$4)^(1/4))</f>
        <v/>
      </c>
      <c r="E120" s="4">
        <f>C120+$B$6*D120</f>
        <v/>
      </c>
      <c r="F120" s="4">
        <f>$B$3*E120^(3/4)*(1-(E120/$B$4)^(1/4))</f>
        <v/>
      </c>
      <c r="G120" s="4">
        <f>( $B$8 + ($B$9-$B$8)*EXP(-$B$3*B120/(4*$B$8)) )^4</f>
        <v/>
      </c>
      <c r="H120" s="4">
        <f>ABS(C120-G120)</f>
        <v/>
      </c>
    </row>
    <row r="121">
      <c r="A121" s="4">
        <f>A120+1</f>
        <v/>
      </c>
      <c r="B121" s="4">
        <f>B120+$B$6</f>
        <v/>
      </c>
      <c r="C121" s="4">
        <f>C120+($B$6/2)*(D120+F120)</f>
        <v/>
      </c>
      <c r="D121" s="4">
        <f>$B$3*C121^(3/4)*(1-(C121/$B$4)^(1/4))</f>
        <v/>
      </c>
      <c r="E121" s="4">
        <f>C121+$B$6*D121</f>
        <v/>
      </c>
      <c r="F121" s="4">
        <f>$B$3*E121^(3/4)*(1-(E121/$B$4)^(1/4))</f>
        <v/>
      </c>
      <c r="G121" s="4">
        <f>( $B$8 + ($B$9-$B$8)*EXP(-$B$3*B121/(4*$B$8)) )^4</f>
        <v/>
      </c>
      <c r="H121" s="4">
        <f>ABS(C121-G121)</f>
        <v/>
      </c>
    </row>
    <row r="122">
      <c r="A122" s="4">
        <f>A121+1</f>
        <v/>
      </c>
      <c r="B122" s="4">
        <f>B121+$B$6</f>
        <v/>
      </c>
      <c r="C122" s="4">
        <f>C121+($B$6/2)*(D121+F121)</f>
        <v/>
      </c>
      <c r="D122" s="4">
        <f>$B$3*C122^(3/4)*(1-(C122/$B$4)^(1/4))</f>
        <v/>
      </c>
      <c r="E122" s="4">
        <f>C122+$B$6*D122</f>
        <v/>
      </c>
      <c r="F122" s="4">
        <f>$B$3*E122^(3/4)*(1-(E122/$B$4)^(1/4))</f>
        <v/>
      </c>
      <c r="G122" s="4">
        <f>( $B$8 + ($B$9-$B$8)*EXP(-$B$3*B122/(4*$B$8)) )^4</f>
        <v/>
      </c>
      <c r="H122" s="4">
        <f>ABS(C122-G122)</f>
        <v/>
      </c>
    </row>
    <row r="123">
      <c r="A123" s="4">
        <f>A122+1</f>
        <v/>
      </c>
      <c r="B123" s="4">
        <f>B122+$B$6</f>
        <v/>
      </c>
      <c r="C123" s="4">
        <f>C122+($B$6/2)*(D122+F122)</f>
        <v/>
      </c>
      <c r="D123" s="4">
        <f>$B$3*C123^(3/4)*(1-(C123/$B$4)^(1/4))</f>
        <v/>
      </c>
      <c r="E123" s="4">
        <f>C123+$B$6*D123</f>
        <v/>
      </c>
      <c r="F123" s="4">
        <f>$B$3*E123^(3/4)*(1-(E123/$B$4)^(1/4))</f>
        <v/>
      </c>
      <c r="G123" s="4">
        <f>( $B$8 + ($B$9-$B$8)*EXP(-$B$3*B123/(4*$B$8)) )^4</f>
        <v/>
      </c>
      <c r="H123" s="4">
        <f>ABS(C123-G123)</f>
        <v/>
      </c>
    </row>
    <row r="124">
      <c r="A124" s="4">
        <f>A123+1</f>
        <v/>
      </c>
      <c r="B124" s="4">
        <f>B123+$B$6</f>
        <v/>
      </c>
      <c r="C124" s="4">
        <f>C123+($B$6/2)*(D123+F123)</f>
        <v/>
      </c>
      <c r="D124" s="4">
        <f>$B$3*C124^(3/4)*(1-(C124/$B$4)^(1/4))</f>
        <v/>
      </c>
      <c r="E124" s="4">
        <f>C124+$B$6*D124</f>
        <v/>
      </c>
      <c r="F124" s="4">
        <f>$B$3*E124^(3/4)*(1-(E124/$B$4)^(1/4))</f>
        <v/>
      </c>
      <c r="G124" s="4">
        <f>( $B$8 + ($B$9-$B$8)*EXP(-$B$3*B124/(4*$B$8)) )^4</f>
        <v/>
      </c>
      <c r="H124" s="4">
        <f>ABS(C124-G124)</f>
        <v/>
      </c>
    </row>
    <row r="125">
      <c r="A125" s="4">
        <f>A124+1</f>
        <v/>
      </c>
      <c r="B125" s="4">
        <f>B124+$B$6</f>
        <v/>
      </c>
      <c r="C125" s="4">
        <f>C124+($B$6/2)*(D124+F124)</f>
        <v/>
      </c>
      <c r="D125" s="4">
        <f>$B$3*C125^(3/4)*(1-(C125/$B$4)^(1/4))</f>
        <v/>
      </c>
      <c r="E125" s="4">
        <f>C125+$B$6*D125</f>
        <v/>
      </c>
      <c r="F125" s="4">
        <f>$B$3*E125^(3/4)*(1-(E125/$B$4)^(1/4))</f>
        <v/>
      </c>
      <c r="G125" s="4">
        <f>( $B$8 + ($B$9-$B$8)*EXP(-$B$3*B125/(4*$B$8)) )^4</f>
        <v/>
      </c>
      <c r="H125" s="4">
        <f>ABS(C125-G125)</f>
        <v/>
      </c>
    </row>
    <row r="126">
      <c r="A126" s="4">
        <f>A125+1</f>
        <v/>
      </c>
      <c r="B126" s="4">
        <f>B125+$B$6</f>
        <v/>
      </c>
      <c r="C126" s="4">
        <f>C125+($B$6/2)*(D125+F125)</f>
        <v/>
      </c>
      <c r="D126" s="4">
        <f>$B$3*C126^(3/4)*(1-(C126/$B$4)^(1/4))</f>
        <v/>
      </c>
      <c r="E126" s="4">
        <f>C126+$B$6*D126</f>
        <v/>
      </c>
      <c r="F126" s="4">
        <f>$B$3*E126^(3/4)*(1-(E126/$B$4)^(1/4))</f>
        <v/>
      </c>
      <c r="G126" s="4">
        <f>( $B$8 + ($B$9-$B$8)*EXP(-$B$3*B126/(4*$B$8)) )^4</f>
        <v/>
      </c>
      <c r="H126" s="4">
        <f>ABS(C126-G126)</f>
        <v/>
      </c>
    </row>
    <row r="127">
      <c r="A127" s="4">
        <f>A126+1</f>
        <v/>
      </c>
      <c r="B127" s="4">
        <f>B126+$B$6</f>
        <v/>
      </c>
      <c r="C127" s="4">
        <f>C126+($B$6/2)*(D126+F126)</f>
        <v/>
      </c>
      <c r="D127" s="4">
        <f>$B$3*C127^(3/4)*(1-(C127/$B$4)^(1/4))</f>
        <v/>
      </c>
      <c r="E127" s="4">
        <f>C127+$B$6*D127</f>
        <v/>
      </c>
      <c r="F127" s="4">
        <f>$B$3*E127^(3/4)*(1-(E127/$B$4)^(1/4))</f>
        <v/>
      </c>
      <c r="G127" s="4">
        <f>( $B$8 + ($B$9-$B$8)*EXP(-$B$3*B127/(4*$B$8)) )^4</f>
        <v/>
      </c>
      <c r="H127" s="4">
        <f>ABS(C127-G127)</f>
        <v/>
      </c>
    </row>
    <row r="128">
      <c r="A128" s="4">
        <f>A127+1</f>
        <v/>
      </c>
      <c r="B128" s="4">
        <f>B127+$B$6</f>
        <v/>
      </c>
      <c r="C128" s="4">
        <f>C127+($B$6/2)*(D127+F127)</f>
        <v/>
      </c>
      <c r="D128" s="4">
        <f>$B$3*C128^(3/4)*(1-(C128/$B$4)^(1/4))</f>
        <v/>
      </c>
      <c r="E128" s="4">
        <f>C128+$B$6*D128</f>
        <v/>
      </c>
      <c r="F128" s="4">
        <f>$B$3*E128^(3/4)*(1-(E128/$B$4)^(1/4))</f>
        <v/>
      </c>
      <c r="G128" s="4">
        <f>( $B$8 + ($B$9-$B$8)*EXP(-$B$3*B128/(4*$B$8)) )^4</f>
        <v/>
      </c>
      <c r="H128" s="4">
        <f>ABS(C128-G128)</f>
        <v/>
      </c>
    </row>
    <row r="129">
      <c r="A129" s="4">
        <f>A128+1</f>
        <v/>
      </c>
      <c r="B129" s="4">
        <f>B128+$B$6</f>
        <v/>
      </c>
      <c r="C129" s="4">
        <f>C128+($B$6/2)*(D128+F128)</f>
        <v/>
      </c>
      <c r="D129" s="4">
        <f>$B$3*C129^(3/4)*(1-(C129/$B$4)^(1/4))</f>
        <v/>
      </c>
      <c r="E129" s="4">
        <f>C129+$B$6*D129</f>
        <v/>
      </c>
      <c r="F129" s="4">
        <f>$B$3*E129^(3/4)*(1-(E129/$B$4)^(1/4))</f>
        <v/>
      </c>
      <c r="G129" s="4">
        <f>( $B$8 + ($B$9-$B$8)*EXP(-$B$3*B129/(4*$B$8)) )^4</f>
        <v/>
      </c>
      <c r="H129" s="4">
        <f>ABS(C129-G129)</f>
        <v/>
      </c>
    </row>
    <row r="130">
      <c r="A130" s="4">
        <f>A129+1</f>
        <v/>
      </c>
      <c r="B130" s="4">
        <f>B129+$B$6</f>
        <v/>
      </c>
      <c r="C130" s="4">
        <f>C129+($B$6/2)*(D129+F129)</f>
        <v/>
      </c>
      <c r="D130" s="4">
        <f>$B$3*C130^(3/4)*(1-(C130/$B$4)^(1/4))</f>
        <v/>
      </c>
      <c r="E130" s="4">
        <f>C130+$B$6*D130</f>
        <v/>
      </c>
      <c r="F130" s="4">
        <f>$B$3*E130^(3/4)*(1-(E130/$B$4)^(1/4))</f>
        <v/>
      </c>
      <c r="G130" s="4">
        <f>( $B$8 + ($B$9-$B$8)*EXP(-$B$3*B130/(4*$B$8)) )^4</f>
        <v/>
      </c>
      <c r="H130" s="4">
        <f>ABS(C130-G130)</f>
        <v/>
      </c>
    </row>
    <row r="131">
      <c r="A131" s="4">
        <f>A130+1</f>
        <v/>
      </c>
      <c r="B131" s="4">
        <f>B130+$B$6</f>
        <v/>
      </c>
      <c r="C131" s="4">
        <f>C130+($B$6/2)*(D130+F130)</f>
        <v/>
      </c>
      <c r="D131" s="4">
        <f>$B$3*C131^(3/4)*(1-(C131/$B$4)^(1/4))</f>
        <v/>
      </c>
      <c r="E131" s="4">
        <f>C131+$B$6*D131</f>
        <v/>
      </c>
      <c r="F131" s="4">
        <f>$B$3*E131^(3/4)*(1-(E131/$B$4)^(1/4))</f>
        <v/>
      </c>
      <c r="G131" s="4">
        <f>( $B$8 + ($B$9-$B$8)*EXP(-$B$3*B131/(4*$B$8)) )^4</f>
        <v/>
      </c>
      <c r="H131" s="4">
        <f>ABS(C131-G131)</f>
        <v/>
      </c>
    </row>
    <row r="132">
      <c r="A132" s="4">
        <f>A131+1</f>
        <v/>
      </c>
      <c r="B132" s="4">
        <f>B131+$B$6</f>
        <v/>
      </c>
      <c r="C132" s="4">
        <f>C131+($B$6/2)*(D131+F131)</f>
        <v/>
      </c>
      <c r="D132" s="4">
        <f>$B$3*C132^(3/4)*(1-(C132/$B$4)^(1/4))</f>
        <v/>
      </c>
      <c r="E132" s="4">
        <f>C132+$B$6*D132</f>
        <v/>
      </c>
      <c r="F132" s="4">
        <f>$B$3*E132^(3/4)*(1-(E132/$B$4)^(1/4))</f>
        <v/>
      </c>
      <c r="G132" s="4">
        <f>( $B$8 + ($B$9-$B$8)*EXP(-$B$3*B132/(4*$B$8)) )^4</f>
        <v/>
      </c>
      <c r="H132" s="4">
        <f>ABS(C132-G132)</f>
        <v/>
      </c>
    </row>
    <row r="133">
      <c r="A133" s="4">
        <f>A132+1</f>
        <v/>
      </c>
      <c r="B133" s="4">
        <f>B132+$B$6</f>
        <v/>
      </c>
      <c r="C133" s="4">
        <f>C132+($B$6/2)*(D132+F132)</f>
        <v/>
      </c>
      <c r="D133" s="4">
        <f>$B$3*C133^(3/4)*(1-(C133/$B$4)^(1/4))</f>
        <v/>
      </c>
      <c r="E133" s="4">
        <f>C133+$B$6*D133</f>
        <v/>
      </c>
      <c r="F133" s="4">
        <f>$B$3*E133^(3/4)*(1-(E133/$B$4)^(1/4))</f>
        <v/>
      </c>
      <c r="G133" s="4">
        <f>( $B$8 + ($B$9-$B$8)*EXP(-$B$3*B133/(4*$B$8)) )^4</f>
        <v/>
      </c>
      <c r="H133" s="4">
        <f>ABS(C133-G133)</f>
        <v/>
      </c>
    </row>
    <row r="134">
      <c r="A134" s="4">
        <f>A133+1</f>
        <v/>
      </c>
      <c r="B134" s="4">
        <f>B133+$B$6</f>
        <v/>
      </c>
      <c r="C134" s="4">
        <f>C133+($B$6/2)*(D133+F133)</f>
        <v/>
      </c>
      <c r="D134" s="4">
        <f>$B$3*C134^(3/4)*(1-(C134/$B$4)^(1/4))</f>
        <v/>
      </c>
      <c r="E134" s="4">
        <f>C134+$B$6*D134</f>
        <v/>
      </c>
      <c r="F134" s="4">
        <f>$B$3*E134^(3/4)*(1-(E134/$B$4)^(1/4))</f>
        <v/>
      </c>
      <c r="G134" s="4">
        <f>( $B$8 + ($B$9-$B$8)*EXP(-$B$3*B134/(4*$B$8)) )^4</f>
        <v/>
      </c>
      <c r="H134" s="4">
        <f>ABS(C134-G134)</f>
        <v/>
      </c>
    </row>
    <row r="135">
      <c r="A135" s="4">
        <f>A134+1</f>
        <v/>
      </c>
      <c r="B135" s="4">
        <f>B134+$B$6</f>
        <v/>
      </c>
      <c r="C135" s="4">
        <f>C134+($B$6/2)*(D134+F134)</f>
        <v/>
      </c>
      <c r="D135" s="4">
        <f>$B$3*C135^(3/4)*(1-(C135/$B$4)^(1/4))</f>
        <v/>
      </c>
      <c r="E135" s="4">
        <f>C135+$B$6*D135</f>
        <v/>
      </c>
      <c r="F135" s="4">
        <f>$B$3*E135^(3/4)*(1-(E135/$B$4)^(1/4))</f>
        <v/>
      </c>
      <c r="G135" s="4">
        <f>( $B$8 + ($B$9-$B$8)*EXP(-$B$3*B135/(4*$B$8)) )^4</f>
        <v/>
      </c>
      <c r="H135" s="4">
        <f>ABS(C135-G135)</f>
        <v/>
      </c>
    </row>
    <row r="136">
      <c r="A136" s="4">
        <f>A135+1</f>
        <v/>
      </c>
      <c r="B136" s="4">
        <f>B135+$B$6</f>
        <v/>
      </c>
      <c r="C136" s="4">
        <f>C135+($B$6/2)*(D135+F135)</f>
        <v/>
      </c>
      <c r="D136" s="4">
        <f>$B$3*C136^(3/4)*(1-(C136/$B$4)^(1/4))</f>
        <v/>
      </c>
      <c r="E136" s="4">
        <f>C136+$B$6*D136</f>
        <v/>
      </c>
      <c r="F136" s="4">
        <f>$B$3*E136^(3/4)*(1-(E136/$B$4)^(1/4))</f>
        <v/>
      </c>
      <c r="G136" s="4">
        <f>( $B$8 + ($B$9-$B$8)*EXP(-$B$3*B136/(4*$B$8)) )^4</f>
        <v/>
      </c>
      <c r="H136" s="4">
        <f>ABS(C136-G136)</f>
        <v/>
      </c>
    </row>
    <row r="137">
      <c r="A137" s="4">
        <f>A136+1</f>
        <v/>
      </c>
      <c r="B137" s="4">
        <f>B136+$B$6</f>
        <v/>
      </c>
      <c r="C137" s="4">
        <f>C136+($B$6/2)*(D136+F136)</f>
        <v/>
      </c>
      <c r="D137" s="4">
        <f>$B$3*C137^(3/4)*(1-(C137/$B$4)^(1/4))</f>
        <v/>
      </c>
      <c r="E137" s="4">
        <f>C137+$B$6*D137</f>
        <v/>
      </c>
      <c r="F137" s="4">
        <f>$B$3*E137^(3/4)*(1-(E137/$B$4)^(1/4))</f>
        <v/>
      </c>
      <c r="G137" s="4">
        <f>( $B$8 + ($B$9-$B$8)*EXP(-$B$3*B137/(4*$B$8)) )^4</f>
        <v/>
      </c>
      <c r="H137" s="4">
        <f>ABS(C137-G137)</f>
        <v/>
      </c>
    </row>
    <row r="138">
      <c r="A138" s="4">
        <f>A137+1</f>
        <v/>
      </c>
      <c r="B138" s="4">
        <f>B137+$B$6</f>
        <v/>
      </c>
      <c r="C138" s="4">
        <f>C137+($B$6/2)*(D137+F137)</f>
        <v/>
      </c>
      <c r="D138" s="4">
        <f>$B$3*C138^(3/4)*(1-(C138/$B$4)^(1/4))</f>
        <v/>
      </c>
      <c r="E138" s="4">
        <f>C138+$B$6*D138</f>
        <v/>
      </c>
      <c r="F138" s="4">
        <f>$B$3*E138^(3/4)*(1-(E138/$B$4)^(1/4))</f>
        <v/>
      </c>
      <c r="G138" s="4">
        <f>( $B$8 + ($B$9-$B$8)*EXP(-$B$3*B138/(4*$B$8)) )^4</f>
        <v/>
      </c>
      <c r="H138" s="4">
        <f>ABS(C138-G138)</f>
        <v/>
      </c>
    </row>
    <row r="139">
      <c r="A139" s="4">
        <f>A138+1</f>
        <v/>
      </c>
      <c r="B139" s="4">
        <f>B138+$B$6</f>
        <v/>
      </c>
      <c r="C139" s="4">
        <f>C138+($B$6/2)*(D138+F138)</f>
        <v/>
      </c>
      <c r="D139" s="4">
        <f>$B$3*C139^(3/4)*(1-(C139/$B$4)^(1/4))</f>
        <v/>
      </c>
      <c r="E139" s="4">
        <f>C139+$B$6*D139</f>
        <v/>
      </c>
      <c r="F139" s="4">
        <f>$B$3*E139^(3/4)*(1-(E139/$B$4)^(1/4))</f>
        <v/>
      </c>
      <c r="G139" s="4">
        <f>( $B$8 + ($B$9-$B$8)*EXP(-$B$3*B139/(4*$B$8)) )^4</f>
        <v/>
      </c>
      <c r="H139" s="4">
        <f>ABS(C139-G139)</f>
        <v/>
      </c>
    </row>
    <row r="140">
      <c r="A140" s="4">
        <f>A139+1</f>
        <v/>
      </c>
      <c r="B140" s="4">
        <f>B139+$B$6</f>
        <v/>
      </c>
      <c r="C140" s="4">
        <f>C139+($B$6/2)*(D139+F139)</f>
        <v/>
      </c>
      <c r="D140" s="4">
        <f>$B$3*C140^(3/4)*(1-(C140/$B$4)^(1/4))</f>
        <v/>
      </c>
      <c r="E140" s="4">
        <f>C140+$B$6*D140</f>
        <v/>
      </c>
      <c r="F140" s="4">
        <f>$B$3*E140^(3/4)*(1-(E140/$B$4)^(1/4))</f>
        <v/>
      </c>
      <c r="G140" s="4">
        <f>( $B$8 + ($B$9-$B$8)*EXP(-$B$3*B140/(4*$B$8)) )^4</f>
        <v/>
      </c>
      <c r="H140" s="4">
        <f>ABS(C140-G140)</f>
        <v/>
      </c>
    </row>
    <row r="141">
      <c r="A141" s="4">
        <f>A140+1</f>
        <v/>
      </c>
      <c r="B141" s="4">
        <f>B140+$B$6</f>
        <v/>
      </c>
      <c r="C141" s="4">
        <f>C140+($B$6/2)*(D140+F140)</f>
        <v/>
      </c>
      <c r="D141" s="4">
        <f>$B$3*C141^(3/4)*(1-(C141/$B$4)^(1/4))</f>
        <v/>
      </c>
      <c r="E141" s="4">
        <f>C141+$B$6*D141</f>
        <v/>
      </c>
      <c r="F141" s="4">
        <f>$B$3*E141^(3/4)*(1-(E141/$B$4)^(1/4))</f>
        <v/>
      </c>
      <c r="G141" s="4">
        <f>( $B$8 + ($B$9-$B$8)*EXP(-$B$3*B141/(4*$B$8)) )^4</f>
        <v/>
      </c>
      <c r="H141" s="4">
        <f>ABS(C141-G141)</f>
        <v/>
      </c>
    </row>
    <row r="142">
      <c r="A142" s="4">
        <f>A141+1</f>
        <v/>
      </c>
      <c r="B142" s="4">
        <f>B141+$B$6</f>
        <v/>
      </c>
      <c r="C142" s="4">
        <f>C141+($B$6/2)*(D141+F141)</f>
        <v/>
      </c>
      <c r="D142" s="4">
        <f>$B$3*C142^(3/4)*(1-(C142/$B$4)^(1/4))</f>
        <v/>
      </c>
      <c r="E142" s="4">
        <f>C142+$B$6*D142</f>
        <v/>
      </c>
      <c r="F142" s="4">
        <f>$B$3*E142^(3/4)*(1-(E142/$B$4)^(1/4))</f>
        <v/>
      </c>
      <c r="G142" s="4">
        <f>( $B$8 + ($B$9-$B$8)*EXP(-$B$3*B142/(4*$B$8)) )^4</f>
        <v/>
      </c>
      <c r="H142" s="4">
        <f>ABS(C142-G142)</f>
        <v/>
      </c>
    </row>
    <row r="143">
      <c r="A143" s="4">
        <f>A142+1</f>
        <v/>
      </c>
      <c r="B143" s="4">
        <f>B142+$B$6</f>
        <v/>
      </c>
      <c r="C143" s="4">
        <f>C142+($B$6/2)*(D142+F142)</f>
        <v/>
      </c>
      <c r="D143" s="4">
        <f>$B$3*C143^(3/4)*(1-(C143/$B$4)^(1/4))</f>
        <v/>
      </c>
      <c r="E143" s="4">
        <f>C143+$B$6*D143</f>
        <v/>
      </c>
      <c r="F143" s="4">
        <f>$B$3*E143^(3/4)*(1-(E143/$B$4)^(1/4))</f>
        <v/>
      </c>
      <c r="G143" s="4">
        <f>( $B$8 + ($B$9-$B$8)*EXP(-$B$3*B143/(4*$B$8)) )^4</f>
        <v/>
      </c>
      <c r="H143" s="4">
        <f>ABS(C143-G143)</f>
        <v/>
      </c>
    </row>
    <row r="144">
      <c r="A144" s="4">
        <f>A143+1</f>
        <v/>
      </c>
      <c r="B144" s="4">
        <f>B143+$B$6</f>
        <v/>
      </c>
      <c r="C144" s="4">
        <f>C143+($B$6/2)*(D143+F143)</f>
        <v/>
      </c>
      <c r="D144" s="4">
        <f>$B$3*C144^(3/4)*(1-(C144/$B$4)^(1/4))</f>
        <v/>
      </c>
      <c r="E144" s="4">
        <f>C144+$B$6*D144</f>
        <v/>
      </c>
      <c r="F144" s="4">
        <f>$B$3*E144^(3/4)*(1-(E144/$B$4)^(1/4))</f>
        <v/>
      </c>
      <c r="G144" s="4">
        <f>( $B$8 + ($B$9-$B$8)*EXP(-$B$3*B144/(4*$B$8)) )^4</f>
        <v/>
      </c>
      <c r="H144" s="4">
        <f>ABS(C144-G144)</f>
        <v/>
      </c>
    </row>
    <row r="145">
      <c r="A145" s="4">
        <f>A144+1</f>
        <v/>
      </c>
      <c r="B145" s="4">
        <f>B144+$B$6</f>
        <v/>
      </c>
      <c r="C145" s="4">
        <f>C144+($B$6/2)*(D144+F144)</f>
        <v/>
      </c>
      <c r="D145" s="4">
        <f>$B$3*C145^(3/4)*(1-(C145/$B$4)^(1/4))</f>
        <v/>
      </c>
      <c r="E145" s="4">
        <f>C145+$B$6*D145</f>
        <v/>
      </c>
      <c r="F145" s="4">
        <f>$B$3*E145^(3/4)*(1-(E145/$B$4)^(1/4))</f>
        <v/>
      </c>
      <c r="G145" s="4">
        <f>( $B$8 + ($B$9-$B$8)*EXP(-$B$3*B145/(4*$B$8)) )^4</f>
        <v/>
      </c>
      <c r="H145" s="4">
        <f>ABS(C145-G145)</f>
        <v/>
      </c>
    </row>
    <row r="146">
      <c r="A146" s="4">
        <f>A145+1</f>
        <v/>
      </c>
      <c r="B146" s="4">
        <f>B145+$B$6</f>
        <v/>
      </c>
      <c r="C146" s="4">
        <f>C145+($B$6/2)*(D145+F145)</f>
        <v/>
      </c>
      <c r="D146" s="4">
        <f>$B$3*C146^(3/4)*(1-(C146/$B$4)^(1/4))</f>
        <v/>
      </c>
      <c r="E146" s="4">
        <f>C146+$B$6*D146</f>
        <v/>
      </c>
      <c r="F146" s="4">
        <f>$B$3*E146^(3/4)*(1-(E146/$B$4)^(1/4))</f>
        <v/>
      </c>
      <c r="G146" s="4">
        <f>( $B$8 + ($B$9-$B$8)*EXP(-$B$3*B146/(4*$B$8)) )^4</f>
        <v/>
      </c>
      <c r="H146" s="4">
        <f>ABS(C146-G146)</f>
        <v/>
      </c>
    </row>
    <row r="147">
      <c r="A147" s="4">
        <f>A146+1</f>
        <v/>
      </c>
      <c r="B147" s="4">
        <f>B146+$B$6</f>
        <v/>
      </c>
      <c r="C147" s="4">
        <f>C146+($B$6/2)*(D146+F146)</f>
        <v/>
      </c>
      <c r="D147" s="4">
        <f>$B$3*C147^(3/4)*(1-(C147/$B$4)^(1/4))</f>
        <v/>
      </c>
      <c r="E147" s="4">
        <f>C147+$B$6*D147</f>
        <v/>
      </c>
      <c r="F147" s="4">
        <f>$B$3*E147^(3/4)*(1-(E147/$B$4)^(1/4))</f>
        <v/>
      </c>
      <c r="G147" s="4">
        <f>( $B$8 + ($B$9-$B$8)*EXP(-$B$3*B147/(4*$B$8)) )^4</f>
        <v/>
      </c>
      <c r="H147" s="4">
        <f>ABS(C147-G147)</f>
        <v/>
      </c>
    </row>
    <row r="148">
      <c r="A148" s="4">
        <f>A147+1</f>
        <v/>
      </c>
      <c r="B148" s="4">
        <f>B147+$B$6</f>
        <v/>
      </c>
      <c r="C148" s="4">
        <f>C147+($B$6/2)*(D147+F147)</f>
        <v/>
      </c>
      <c r="D148" s="4">
        <f>$B$3*C148^(3/4)*(1-(C148/$B$4)^(1/4))</f>
        <v/>
      </c>
      <c r="E148" s="4">
        <f>C148+$B$6*D148</f>
        <v/>
      </c>
      <c r="F148" s="4">
        <f>$B$3*E148^(3/4)*(1-(E148/$B$4)^(1/4))</f>
        <v/>
      </c>
      <c r="G148" s="4">
        <f>( $B$8 + ($B$9-$B$8)*EXP(-$B$3*B148/(4*$B$8)) )^4</f>
        <v/>
      </c>
      <c r="H148" s="4">
        <f>ABS(C148-G148)</f>
        <v/>
      </c>
    </row>
    <row r="149">
      <c r="A149" s="4">
        <f>A148+1</f>
        <v/>
      </c>
      <c r="B149" s="4">
        <f>B148+$B$6</f>
        <v/>
      </c>
      <c r="C149" s="4">
        <f>C148+($B$6/2)*(D148+F148)</f>
        <v/>
      </c>
      <c r="D149" s="4">
        <f>$B$3*C149^(3/4)*(1-(C149/$B$4)^(1/4))</f>
        <v/>
      </c>
      <c r="E149" s="4">
        <f>C149+$B$6*D149</f>
        <v/>
      </c>
      <c r="F149" s="4">
        <f>$B$3*E149^(3/4)*(1-(E149/$B$4)^(1/4))</f>
        <v/>
      </c>
      <c r="G149" s="4">
        <f>( $B$8 + ($B$9-$B$8)*EXP(-$B$3*B149/(4*$B$8)) )^4</f>
        <v/>
      </c>
      <c r="H149" s="4">
        <f>ABS(C149-G149)</f>
        <v/>
      </c>
    </row>
    <row r="150">
      <c r="A150" s="4">
        <f>A149+1</f>
        <v/>
      </c>
      <c r="B150" s="4">
        <f>B149+$B$6</f>
        <v/>
      </c>
      <c r="C150" s="4">
        <f>C149+($B$6/2)*(D149+F149)</f>
        <v/>
      </c>
      <c r="D150" s="4">
        <f>$B$3*C150^(3/4)*(1-(C150/$B$4)^(1/4))</f>
        <v/>
      </c>
      <c r="E150" s="4">
        <f>C150+$B$6*D150</f>
        <v/>
      </c>
      <c r="F150" s="4">
        <f>$B$3*E150^(3/4)*(1-(E150/$B$4)^(1/4))</f>
        <v/>
      </c>
      <c r="G150" s="4">
        <f>( $B$8 + ($B$9-$B$8)*EXP(-$B$3*B150/(4*$B$8)) )^4</f>
        <v/>
      </c>
      <c r="H150" s="4">
        <f>ABS(C150-G150)</f>
        <v/>
      </c>
    </row>
    <row r="151">
      <c r="A151" s="4">
        <f>A150+1</f>
        <v/>
      </c>
      <c r="B151" s="4">
        <f>B150+$B$6</f>
        <v/>
      </c>
      <c r="C151" s="4">
        <f>C150+($B$6/2)*(D150+F150)</f>
        <v/>
      </c>
      <c r="D151" s="4">
        <f>$B$3*C151^(3/4)*(1-(C151/$B$4)^(1/4))</f>
        <v/>
      </c>
      <c r="E151" s="4">
        <f>C151+$B$6*D151</f>
        <v/>
      </c>
      <c r="F151" s="4">
        <f>$B$3*E151^(3/4)*(1-(E151/$B$4)^(1/4))</f>
        <v/>
      </c>
      <c r="G151" s="4">
        <f>( $B$8 + ($B$9-$B$8)*EXP(-$B$3*B151/(4*$B$8)) )^4</f>
        <v/>
      </c>
      <c r="H151" s="4">
        <f>ABS(C151-G151)</f>
        <v/>
      </c>
    </row>
    <row r="152">
      <c r="A152" s="4">
        <f>A151+1</f>
        <v/>
      </c>
      <c r="B152" s="4">
        <f>B151+$B$6</f>
        <v/>
      </c>
      <c r="C152" s="4">
        <f>C151+($B$6/2)*(D151+F151)</f>
        <v/>
      </c>
      <c r="D152" s="4">
        <f>$B$3*C152^(3/4)*(1-(C152/$B$4)^(1/4))</f>
        <v/>
      </c>
      <c r="E152" s="4">
        <f>C152+$B$6*D152</f>
        <v/>
      </c>
      <c r="F152" s="4">
        <f>$B$3*E152^(3/4)*(1-(E152/$B$4)^(1/4))</f>
        <v/>
      </c>
      <c r="G152" s="4">
        <f>( $B$8 + ($B$9-$B$8)*EXP(-$B$3*B152/(4*$B$8)) )^4</f>
        <v/>
      </c>
      <c r="H152" s="4">
        <f>ABS(C152-G152)</f>
        <v/>
      </c>
    </row>
    <row r="153">
      <c r="A153" s="4">
        <f>A152+1</f>
        <v/>
      </c>
      <c r="B153" s="4">
        <f>B152+$B$6</f>
        <v/>
      </c>
      <c r="C153" s="4">
        <f>C152+($B$6/2)*(D152+F152)</f>
        <v/>
      </c>
      <c r="D153" s="4">
        <f>$B$3*C153^(3/4)*(1-(C153/$B$4)^(1/4))</f>
        <v/>
      </c>
      <c r="E153" s="4">
        <f>C153+$B$6*D153</f>
        <v/>
      </c>
      <c r="F153" s="4">
        <f>$B$3*E153^(3/4)*(1-(E153/$B$4)^(1/4))</f>
        <v/>
      </c>
      <c r="G153" s="4">
        <f>( $B$8 + ($B$9-$B$8)*EXP(-$B$3*B153/(4*$B$8)) )^4</f>
        <v/>
      </c>
      <c r="H153" s="4">
        <f>ABS(C153-G153)</f>
        <v/>
      </c>
    </row>
    <row r="154">
      <c r="A154" s="4">
        <f>A153+1</f>
        <v/>
      </c>
      <c r="B154" s="4">
        <f>B153+$B$6</f>
        <v/>
      </c>
      <c r="C154" s="4">
        <f>C153+($B$6/2)*(D153+F153)</f>
        <v/>
      </c>
      <c r="D154" s="4">
        <f>$B$3*C154^(3/4)*(1-(C154/$B$4)^(1/4))</f>
        <v/>
      </c>
      <c r="E154" s="4">
        <f>C154+$B$6*D154</f>
        <v/>
      </c>
      <c r="F154" s="4">
        <f>$B$3*E154^(3/4)*(1-(E154/$B$4)^(1/4))</f>
        <v/>
      </c>
      <c r="G154" s="4">
        <f>( $B$8 + ($B$9-$B$8)*EXP(-$B$3*B154/(4*$B$8)) )^4</f>
        <v/>
      </c>
      <c r="H154" s="4">
        <f>ABS(C154-G154)</f>
        <v/>
      </c>
    </row>
    <row r="155">
      <c r="A155" s="4">
        <f>A154+1</f>
        <v/>
      </c>
      <c r="B155" s="4">
        <f>B154+$B$6</f>
        <v/>
      </c>
      <c r="C155" s="4">
        <f>C154+($B$6/2)*(D154+F154)</f>
        <v/>
      </c>
      <c r="D155" s="4">
        <f>$B$3*C155^(3/4)*(1-(C155/$B$4)^(1/4))</f>
        <v/>
      </c>
      <c r="E155" s="4">
        <f>C155+$B$6*D155</f>
        <v/>
      </c>
      <c r="F155" s="4">
        <f>$B$3*E155^(3/4)*(1-(E155/$B$4)^(1/4))</f>
        <v/>
      </c>
      <c r="G155" s="4">
        <f>( $B$8 + ($B$9-$B$8)*EXP(-$B$3*B155/(4*$B$8)) )^4</f>
        <v/>
      </c>
      <c r="H155" s="4">
        <f>ABS(C155-G155)</f>
        <v/>
      </c>
    </row>
    <row r="156">
      <c r="A156" s="4">
        <f>A155+1</f>
        <v/>
      </c>
      <c r="B156" s="4">
        <f>B155+$B$6</f>
        <v/>
      </c>
      <c r="C156" s="4">
        <f>C155+($B$6/2)*(D155+F155)</f>
        <v/>
      </c>
      <c r="D156" s="4">
        <f>$B$3*C156^(3/4)*(1-(C156/$B$4)^(1/4))</f>
        <v/>
      </c>
      <c r="E156" s="4">
        <f>C156+$B$6*D156</f>
        <v/>
      </c>
      <c r="F156" s="4">
        <f>$B$3*E156^(3/4)*(1-(E156/$B$4)^(1/4))</f>
        <v/>
      </c>
      <c r="G156" s="4">
        <f>( $B$8 + ($B$9-$B$8)*EXP(-$B$3*B156/(4*$B$8)) )^4</f>
        <v/>
      </c>
      <c r="H156" s="4">
        <f>ABS(C156-G156)</f>
        <v/>
      </c>
    </row>
    <row r="157">
      <c r="A157" s="4">
        <f>A156+1</f>
        <v/>
      </c>
      <c r="B157" s="4">
        <f>B156+$B$6</f>
        <v/>
      </c>
      <c r="C157" s="4">
        <f>C156+($B$6/2)*(D156+F156)</f>
        <v/>
      </c>
      <c r="D157" s="4">
        <f>$B$3*C157^(3/4)*(1-(C157/$B$4)^(1/4))</f>
        <v/>
      </c>
      <c r="E157" s="4">
        <f>C157+$B$6*D157</f>
        <v/>
      </c>
      <c r="F157" s="4">
        <f>$B$3*E157^(3/4)*(1-(E157/$B$4)^(1/4))</f>
        <v/>
      </c>
      <c r="G157" s="4">
        <f>( $B$8 + ($B$9-$B$8)*EXP(-$B$3*B157/(4*$B$8)) )^4</f>
        <v/>
      </c>
      <c r="H157" s="4">
        <f>ABS(C157-G157)</f>
        <v/>
      </c>
    </row>
    <row r="158">
      <c r="A158" s="4">
        <f>A157+1</f>
        <v/>
      </c>
      <c r="B158" s="4">
        <f>B157+$B$6</f>
        <v/>
      </c>
      <c r="C158" s="4">
        <f>C157+($B$6/2)*(D157+F157)</f>
        <v/>
      </c>
      <c r="D158" s="4">
        <f>$B$3*C158^(3/4)*(1-(C158/$B$4)^(1/4))</f>
        <v/>
      </c>
      <c r="E158" s="4">
        <f>C158+$B$6*D158</f>
        <v/>
      </c>
      <c r="F158" s="4">
        <f>$B$3*E158^(3/4)*(1-(E158/$B$4)^(1/4))</f>
        <v/>
      </c>
      <c r="G158" s="4">
        <f>( $B$8 + ($B$9-$B$8)*EXP(-$B$3*B158/(4*$B$8)) )^4</f>
        <v/>
      </c>
      <c r="H158" s="4">
        <f>ABS(C158-G158)</f>
        <v/>
      </c>
    </row>
    <row r="159">
      <c r="A159" s="4">
        <f>A158+1</f>
        <v/>
      </c>
      <c r="B159" s="4">
        <f>B158+$B$6</f>
        <v/>
      </c>
      <c r="C159" s="4">
        <f>C158+($B$6/2)*(D158+F158)</f>
        <v/>
      </c>
      <c r="D159" s="4">
        <f>$B$3*C159^(3/4)*(1-(C159/$B$4)^(1/4))</f>
        <v/>
      </c>
      <c r="E159" s="4">
        <f>C159+$B$6*D159</f>
        <v/>
      </c>
      <c r="F159" s="4">
        <f>$B$3*E159^(3/4)*(1-(E159/$B$4)^(1/4))</f>
        <v/>
      </c>
      <c r="G159" s="4">
        <f>( $B$8 + ($B$9-$B$8)*EXP(-$B$3*B159/(4*$B$8)) )^4</f>
        <v/>
      </c>
      <c r="H159" s="4">
        <f>ABS(C159-G159)</f>
        <v/>
      </c>
    </row>
    <row r="160">
      <c r="A160" s="4">
        <f>A159+1</f>
        <v/>
      </c>
      <c r="B160" s="4">
        <f>B159+$B$6</f>
        <v/>
      </c>
      <c r="C160" s="4">
        <f>C159+($B$6/2)*(D159+F159)</f>
        <v/>
      </c>
      <c r="D160" s="4">
        <f>$B$3*C160^(3/4)*(1-(C160/$B$4)^(1/4))</f>
        <v/>
      </c>
      <c r="E160" s="4">
        <f>C160+$B$6*D160</f>
        <v/>
      </c>
      <c r="F160" s="4">
        <f>$B$3*E160^(3/4)*(1-(E160/$B$4)^(1/4))</f>
        <v/>
      </c>
      <c r="G160" s="4">
        <f>( $B$8 + ($B$9-$B$8)*EXP(-$B$3*B160/(4*$B$8)) )^4</f>
        <v/>
      </c>
      <c r="H160" s="4">
        <f>ABS(C160-G160)</f>
        <v/>
      </c>
    </row>
    <row r="161">
      <c r="A161" s="4">
        <f>A160+1</f>
        <v/>
      </c>
      <c r="B161" s="4">
        <f>B160+$B$6</f>
        <v/>
      </c>
      <c r="C161" s="4">
        <f>C160+($B$6/2)*(D160+F160)</f>
        <v/>
      </c>
      <c r="D161" s="4">
        <f>$B$3*C161^(3/4)*(1-(C161/$B$4)^(1/4))</f>
        <v/>
      </c>
      <c r="E161" s="4">
        <f>C161+$B$6*D161</f>
        <v/>
      </c>
      <c r="F161" s="4">
        <f>$B$3*E161^(3/4)*(1-(E161/$B$4)^(1/4))</f>
        <v/>
      </c>
      <c r="G161" s="4">
        <f>( $B$8 + ($B$9-$B$8)*EXP(-$B$3*B161/(4*$B$8)) )^4</f>
        <v/>
      </c>
      <c r="H161" s="4">
        <f>ABS(C161-G161)</f>
        <v/>
      </c>
    </row>
    <row r="162">
      <c r="A162" s="4">
        <f>A161+1</f>
        <v/>
      </c>
      <c r="B162" s="4">
        <f>B161+$B$6</f>
        <v/>
      </c>
      <c r="C162" s="4">
        <f>C161+($B$6/2)*(D161+F161)</f>
        <v/>
      </c>
      <c r="D162" s="4">
        <f>$B$3*C162^(3/4)*(1-(C162/$B$4)^(1/4))</f>
        <v/>
      </c>
      <c r="E162" s="4">
        <f>C162+$B$6*D162</f>
        <v/>
      </c>
      <c r="F162" s="4">
        <f>$B$3*E162^(3/4)*(1-(E162/$B$4)^(1/4))</f>
        <v/>
      </c>
      <c r="G162" s="4">
        <f>( $B$8 + ($B$9-$B$8)*EXP(-$B$3*B162/(4*$B$8)) )^4</f>
        <v/>
      </c>
      <c r="H162" s="4">
        <f>ABS(C162-G162)</f>
        <v/>
      </c>
    </row>
    <row r="163">
      <c r="A163" s="4">
        <f>A162+1</f>
        <v/>
      </c>
      <c r="B163" s="4">
        <f>B162+$B$6</f>
        <v/>
      </c>
      <c r="C163" s="4">
        <f>C162+($B$6/2)*(D162+F162)</f>
        <v/>
      </c>
      <c r="D163" s="4">
        <f>$B$3*C163^(3/4)*(1-(C163/$B$4)^(1/4))</f>
        <v/>
      </c>
      <c r="E163" s="4">
        <f>C163+$B$6*D163</f>
        <v/>
      </c>
      <c r="F163" s="4">
        <f>$B$3*E163^(3/4)*(1-(E163/$B$4)^(1/4))</f>
        <v/>
      </c>
      <c r="G163" s="4">
        <f>( $B$8 + ($B$9-$B$8)*EXP(-$B$3*B163/(4*$B$8)) )^4</f>
        <v/>
      </c>
      <c r="H163" s="4">
        <f>ABS(C163-G163)</f>
        <v/>
      </c>
    </row>
    <row r="164">
      <c r="A164" s="4">
        <f>A163+1</f>
        <v/>
      </c>
      <c r="B164" s="4">
        <f>B163+$B$6</f>
        <v/>
      </c>
      <c r="C164" s="4">
        <f>C163+($B$6/2)*(D163+F163)</f>
        <v/>
      </c>
      <c r="D164" s="4">
        <f>$B$3*C164^(3/4)*(1-(C164/$B$4)^(1/4))</f>
        <v/>
      </c>
      <c r="E164" s="4">
        <f>C164+$B$6*D164</f>
        <v/>
      </c>
      <c r="F164" s="4">
        <f>$B$3*E164^(3/4)*(1-(E164/$B$4)^(1/4))</f>
        <v/>
      </c>
      <c r="G164" s="4">
        <f>( $B$8 + ($B$9-$B$8)*EXP(-$B$3*B164/(4*$B$8)) )^4</f>
        <v/>
      </c>
      <c r="H164" s="4">
        <f>ABS(C164-G164)</f>
        <v/>
      </c>
    </row>
    <row r="165">
      <c r="A165" s="4">
        <f>A164+1</f>
        <v/>
      </c>
      <c r="B165" s="4">
        <f>B164+$B$6</f>
        <v/>
      </c>
      <c r="C165" s="4">
        <f>C164+($B$6/2)*(D164+F164)</f>
        <v/>
      </c>
      <c r="D165" s="4">
        <f>$B$3*C165^(3/4)*(1-(C165/$B$4)^(1/4))</f>
        <v/>
      </c>
      <c r="E165" s="4">
        <f>C165+$B$6*D165</f>
        <v/>
      </c>
      <c r="F165" s="4">
        <f>$B$3*E165^(3/4)*(1-(E165/$B$4)^(1/4))</f>
        <v/>
      </c>
      <c r="G165" s="4">
        <f>( $B$8 + ($B$9-$B$8)*EXP(-$B$3*B165/(4*$B$8)) )^4</f>
        <v/>
      </c>
      <c r="H165" s="4">
        <f>ABS(C165-G165)</f>
        <v/>
      </c>
    </row>
    <row r="166">
      <c r="A166" s="4">
        <f>A165+1</f>
        <v/>
      </c>
      <c r="B166" s="4">
        <f>B165+$B$6</f>
        <v/>
      </c>
      <c r="C166" s="4">
        <f>C165+($B$6/2)*(D165+F165)</f>
        <v/>
      </c>
      <c r="D166" s="4">
        <f>$B$3*C166^(3/4)*(1-(C166/$B$4)^(1/4))</f>
        <v/>
      </c>
      <c r="E166" s="4">
        <f>C166+$B$6*D166</f>
        <v/>
      </c>
      <c r="F166" s="4">
        <f>$B$3*E166^(3/4)*(1-(E166/$B$4)^(1/4))</f>
        <v/>
      </c>
      <c r="G166" s="4">
        <f>( $B$8 + ($B$9-$B$8)*EXP(-$B$3*B166/(4*$B$8)) )^4</f>
        <v/>
      </c>
      <c r="H166" s="4">
        <f>ABS(C166-G166)</f>
        <v/>
      </c>
    </row>
    <row r="167">
      <c r="A167" s="4">
        <f>A166+1</f>
        <v/>
      </c>
      <c r="B167" s="4">
        <f>B166+$B$6</f>
        <v/>
      </c>
      <c r="C167" s="4">
        <f>C166+($B$6/2)*(D166+F166)</f>
        <v/>
      </c>
      <c r="D167" s="4">
        <f>$B$3*C167^(3/4)*(1-(C167/$B$4)^(1/4))</f>
        <v/>
      </c>
      <c r="E167" s="4">
        <f>C167+$B$6*D167</f>
        <v/>
      </c>
      <c r="F167" s="4">
        <f>$B$3*E167^(3/4)*(1-(E167/$B$4)^(1/4))</f>
        <v/>
      </c>
      <c r="G167" s="4">
        <f>( $B$8 + ($B$9-$B$8)*EXP(-$B$3*B167/(4*$B$8)) )^4</f>
        <v/>
      </c>
      <c r="H167" s="4">
        <f>ABS(C167-G167)</f>
        <v/>
      </c>
    </row>
    <row r="168">
      <c r="A168" s="4">
        <f>A167+1</f>
        <v/>
      </c>
      <c r="B168" s="4">
        <f>B167+$B$6</f>
        <v/>
      </c>
      <c r="C168" s="4">
        <f>C167+($B$6/2)*(D167+F167)</f>
        <v/>
      </c>
      <c r="D168" s="4">
        <f>$B$3*C168^(3/4)*(1-(C168/$B$4)^(1/4))</f>
        <v/>
      </c>
      <c r="E168" s="4">
        <f>C168+$B$6*D168</f>
        <v/>
      </c>
      <c r="F168" s="4">
        <f>$B$3*E168^(3/4)*(1-(E168/$B$4)^(1/4))</f>
        <v/>
      </c>
      <c r="G168" s="4">
        <f>( $B$8 + ($B$9-$B$8)*EXP(-$B$3*B168/(4*$B$8)) )^4</f>
        <v/>
      </c>
      <c r="H168" s="4">
        <f>ABS(C168-G168)</f>
        <v/>
      </c>
    </row>
    <row r="169">
      <c r="A169" s="4">
        <f>A168+1</f>
        <v/>
      </c>
      <c r="B169" s="4">
        <f>B168+$B$6</f>
        <v/>
      </c>
      <c r="C169" s="4">
        <f>C168+($B$6/2)*(D168+F168)</f>
        <v/>
      </c>
      <c r="D169" s="4">
        <f>$B$3*C169^(3/4)*(1-(C169/$B$4)^(1/4))</f>
        <v/>
      </c>
      <c r="E169" s="4">
        <f>C169+$B$6*D169</f>
        <v/>
      </c>
      <c r="F169" s="4">
        <f>$B$3*E169^(3/4)*(1-(E169/$B$4)^(1/4))</f>
        <v/>
      </c>
      <c r="G169" s="4">
        <f>( $B$8 + ($B$9-$B$8)*EXP(-$B$3*B169/(4*$B$8)) )^4</f>
        <v/>
      </c>
      <c r="H169" s="4">
        <f>ABS(C169-G169)</f>
        <v/>
      </c>
    </row>
    <row r="170">
      <c r="A170" s="4">
        <f>A169+1</f>
        <v/>
      </c>
      <c r="B170" s="4">
        <f>B169+$B$6</f>
        <v/>
      </c>
      <c r="C170" s="4">
        <f>C169+($B$6/2)*(D169+F169)</f>
        <v/>
      </c>
      <c r="D170" s="4">
        <f>$B$3*C170^(3/4)*(1-(C170/$B$4)^(1/4))</f>
        <v/>
      </c>
      <c r="E170" s="4">
        <f>C170+$B$6*D170</f>
        <v/>
      </c>
      <c r="F170" s="4">
        <f>$B$3*E170^(3/4)*(1-(E170/$B$4)^(1/4))</f>
        <v/>
      </c>
      <c r="G170" s="4">
        <f>( $B$8 + ($B$9-$B$8)*EXP(-$B$3*B170/(4*$B$8)) )^4</f>
        <v/>
      </c>
      <c r="H170" s="4">
        <f>ABS(C170-G170)</f>
        <v/>
      </c>
    </row>
    <row r="171">
      <c r="A171" s="4">
        <f>A170+1</f>
        <v/>
      </c>
      <c r="B171" s="4">
        <f>B170+$B$6</f>
        <v/>
      </c>
      <c r="C171" s="4">
        <f>C170+($B$6/2)*(D170+F170)</f>
        <v/>
      </c>
      <c r="D171" s="4">
        <f>$B$3*C171^(3/4)*(1-(C171/$B$4)^(1/4))</f>
        <v/>
      </c>
      <c r="E171" s="4">
        <f>C171+$B$6*D171</f>
        <v/>
      </c>
      <c r="F171" s="4">
        <f>$B$3*E171^(3/4)*(1-(E171/$B$4)^(1/4))</f>
        <v/>
      </c>
      <c r="G171" s="4">
        <f>( $B$8 + ($B$9-$B$8)*EXP(-$B$3*B171/(4*$B$8)) )^4</f>
        <v/>
      </c>
      <c r="H171" s="4">
        <f>ABS(C171-G171)</f>
        <v/>
      </c>
    </row>
    <row r="172">
      <c r="A172" s="4">
        <f>A171+1</f>
        <v/>
      </c>
      <c r="B172" s="4">
        <f>B171+$B$6</f>
        <v/>
      </c>
      <c r="C172" s="4">
        <f>C171+($B$6/2)*(D171+F171)</f>
        <v/>
      </c>
      <c r="D172" s="4">
        <f>$B$3*C172^(3/4)*(1-(C172/$B$4)^(1/4))</f>
        <v/>
      </c>
      <c r="E172" s="4">
        <f>C172+$B$6*D172</f>
        <v/>
      </c>
      <c r="F172" s="4">
        <f>$B$3*E172^(3/4)*(1-(E172/$B$4)^(1/4))</f>
        <v/>
      </c>
      <c r="G172" s="4">
        <f>( $B$8 + ($B$9-$B$8)*EXP(-$B$3*B172/(4*$B$8)) )^4</f>
        <v/>
      </c>
      <c r="H172" s="4">
        <f>ABS(C172-G172)</f>
        <v/>
      </c>
    </row>
    <row r="173">
      <c r="A173" s="4">
        <f>A172+1</f>
        <v/>
      </c>
      <c r="B173" s="4">
        <f>B172+$B$6</f>
        <v/>
      </c>
      <c r="C173" s="4">
        <f>C172+($B$6/2)*(D172+F172)</f>
        <v/>
      </c>
      <c r="D173" s="4">
        <f>$B$3*C173^(3/4)*(1-(C173/$B$4)^(1/4))</f>
        <v/>
      </c>
      <c r="E173" s="4">
        <f>C173+$B$6*D173</f>
        <v/>
      </c>
      <c r="F173" s="4">
        <f>$B$3*E173^(3/4)*(1-(E173/$B$4)^(1/4))</f>
        <v/>
      </c>
      <c r="G173" s="4">
        <f>( $B$8 + ($B$9-$B$8)*EXP(-$B$3*B173/(4*$B$8)) )^4</f>
        <v/>
      </c>
      <c r="H173" s="4">
        <f>ABS(C173-G173)</f>
        <v/>
      </c>
    </row>
    <row r="174">
      <c r="A174" s="4">
        <f>A173+1</f>
        <v/>
      </c>
      <c r="B174" s="4">
        <f>B173+$B$6</f>
        <v/>
      </c>
      <c r="C174" s="4">
        <f>C173+($B$6/2)*(D173+F173)</f>
        <v/>
      </c>
      <c r="D174" s="4">
        <f>$B$3*C174^(3/4)*(1-(C174/$B$4)^(1/4))</f>
        <v/>
      </c>
      <c r="E174" s="4">
        <f>C174+$B$6*D174</f>
        <v/>
      </c>
      <c r="F174" s="4">
        <f>$B$3*E174^(3/4)*(1-(E174/$B$4)^(1/4))</f>
        <v/>
      </c>
      <c r="G174" s="4">
        <f>( $B$8 + ($B$9-$B$8)*EXP(-$B$3*B174/(4*$B$8)) )^4</f>
        <v/>
      </c>
      <c r="H174" s="4">
        <f>ABS(C174-G174)</f>
        <v/>
      </c>
    </row>
    <row r="175">
      <c r="A175" s="4">
        <f>A174+1</f>
        <v/>
      </c>
      <c r="B175" s="4">
        <f>B174+$B$6</f>
        <v/>
      </c>
      <c r="C175" s="4">
        <f>C174+($B$6/2)*(D174+F174)</f>
        <v/>
      </c>
      <c r="D175" s="4">
        <f>$B$3*C175^(3/4)*(1-(C175/$B$4)^(1/4))</f>
        <v/>
      </c>
      <c r="E175" s="4">
        <f>C175+$B$6*D175</f>
        <v/>
      </c>
      <c r="F175" s="4">
        <f>$B$3*E175^(3/4)*(1-(E175/$B$4)^(1/4))</f>
        <v/>
      </c>
      <c r="G175" s="4">
        <f>( $B$8 + ($B$9-$B$8)*EXP(-$B$3*B175/(4*$B$8)) )^4</f>
        <v/>
      </c>
      <c r="H175" s="4">
        <f>ABS(C175-G175)</f>
        <v/>
      </c>
    </row>
    <row r="176">
      <c r="A176" s="4">
        <f>A175+1</f>
        <v/>
      </c>
      <c r="B176" s="4">
        <f>B175+$B$6</f>
        <v/>
      </c>
      <c r="C176" s="4">
        <f>C175+($B$6/2)*(D175+F175)</f>
        <v/>
      </c>
      <c r="D176" s="4">
        <f>$B$3*C176^(3/4)*(1-(C176/$B$4)^(1/4))</f>
        <v/>
      </c>
      <c r="E176" s="4">
        <f>C176+$B$6*D176</f>
        <v/>
      </c>
      <c r="F176" s="4">
        <f>$B$3*E176^(3/4)*(1-(E176/$B$4)^(1/4))</f>
        <v/>
      </c>
      <c r="G176" s="4">
        <f>( $B$8 + ($B$9-$B$8)*EXP(-$B$3*B176/(4*$B$8)) )^4</f>
        <v/>
      </c>
      <c r="H176" s="4">
        <f>ABS(C176-G176)</f>
        <v/>
      </c>
    </row>
    <row r="177">
      <c r="A177" s="4">
        <f>A176+1</f>
        <v/>
      </c>
      <c r="B177" s="4">
        <f>B176+$B$6</f>
        <v/>
      </c>
      <c r="C177" s="4">
        <f>C176+($B$6/2)*(D176+F176)</f>
        <v/>
      </c>
      <c r="D177" s="4">
        <f>$B$3*C177^(3/4)*(1-(C177/$B$4)^(1/4))</f>
        <v/>
      </c>
      <c r="E177" s="4">
        <f>C177+$B$6*D177</f>
        <v/>
      </c>
      <c r="F177" s="4">
        <f>$B$3*E177^(3/4)*(1-(E177/$B$4)^(1/4))</f>
        <v/>
      </c>
      <c r="G177" s="4">
        <f>( $B$8 + ($B$9-$B$8)*EXP(-$B$3*B177/(4*$B$8)) )^4</f>
        <v/>
      </c>
      <c r="H177" s="4">
        <f>ABS(C177-G177)</f>
        <v/>
      </c>
    </row>
    <row r="178">
      <c r="A178" s="4">
        <f>A177+1</f>
        <v/>
      </c>
      <c r="B178" s="4">
        <f>B177+$B$6</f>
        <v/>
      </c>
      <c r="C178" s="4">
        <f>C177+($B$6/2)*(D177+F177)</f>
        <v/>
      </c>
      <c r="D178" s="4">
        <f>$B$3*C178^(3/4)*(1-(C178/$B$4)^(1/4))</f>
        <v/>
      </c>
      <c r="E178" s="4">
        <f>C178+$B$6*D178</f>
        <v/>
      </c>
      <c r="F178" s="4">
        <f>$B$3*E178^(3/4)*(1-(E178/$B$4)^(1/4))</f>
        <v/>
      </c>
      <c r="G178" s="4">
        <f>( $B$8 + ($B$9-$B$8)*EXP(-$B$3*B178/(4*$B$8)) )^4</f>
        <v/>
      </c>
      <c r="H178" s="4">
        <f>ABS(C178-G178)</f>
        <v/>
      </c>
    </row>
    <row r="179">
      <c r="A179" s="4">
        <f>A178+1</f>
        <v/>
      </c>
      <c r="B179" s="4">
        <f>B178+$B$6</f>
        <v/>
      </c>
      <c r="C179" s="4">
        <f>C178+($B$6/2)*(D178+F178)</f>
        <v/>
      </c>
      <c r="D179" s="4">
        <f>$B$3*C179^(3/4)*(1-(C179/$B$4)^(1/4))</f>
        <v/>
      </c>
      <c r="E179" s="4">
        <f>C179+$B$6*D179</f>
        <v/>
      </c>
      <c r="F179" s="4">
        <f>$B$3*E179^(3/4)*(1-(E179/$B$4)^(1/4))</f>
        <v/>
      </c>
      <c r="G179" s="4">
        <f>( $B$8 + ($B$9-$B$8)*EXP(-$B$3*B179/(4*$B$8)) )^4</f>
        <v/>
      </c>
      <c r="H179" s="4">
        <f>ABS(C179-G179)</f>
        <v/>
      </c>
    </row>
    <row r="180">
      <c r="A180" s="4">
        <f>A179+1</f>
        <v/>
      </c>
      <c r="B180" s="4">
        <f>B179+$B$6</f>
        <v/>
      </c>
      <c r="C180" s="4">
        <f>C179+($B$6/2)*(D179+F179)</f>
        <v/>
      </c>
      <c r="D180" s="4">
        <f>$B$3*C180^(3/4)*(1-(C180/$B$4)^(1/4))</f>
        <v/>
      </c>
      <c r="E180" s="4">
        <f>C180+$B$6*D180</f>
        <v/>
      </c>
      <c r="F180" s="4">
        <f>$B$3*E180^(3/4)*(1-(E180/$B$4)^(1/4))</f>
        <v/>
      </c>
      <c r="G180" s="4">
        <f>( $B$8 + ($B$9-$B$8)*EXP(-$B$3*B180/(4*$B$8)) )^4</f>
        <v/>
      </c>
      <c r="H180" s="4">
        <f>ABS(C180-G180)</f>
        <v/>
      </c>
    </row>
    <row r="181">
      <c r="A181" s="4">
        <f>A180+1</f>
        <v/>
      </c>
      <c r="B181" s="4">
        <f>B180+$B$6</f>
        <v/>
      </c>
      <c r="C181" s="4">
        <f>C180+($B$6/2)*(D180+F180)</f>
        <v/>
      </c>
      <c r="D181" s="4">
        <f>$B$3*C181^(3/4)*(1-(C181/$B$4)^(1/4))</f>
        <v/>
      </c>
      <c r="E181" s="4">
        <f>C181+$B$6*D181</f>
        <v/>
      </c>
      <c r="F181" s="4">
        <f>$B$3*E181^(3/4)*(1-(E181/$B$4)^(1/4))</f>
        <v/>
      </c>
      <c r="G181" s="4">
        <f>( $B$8 + ($B$9-$B$8)*EXP(-$B$3*B181/(4*$B$8)) )^4</f>
        <v/>
      </c>
      <c r="H181" s="4">
        <f>ABS(C181-G181)</f>
        <v/>
      </c>
    </row>
    <row r="182">
      <c r="A182" s="4">
        <f>A181+1</f>
        <v/>
      </c>
      <c r="B182" s="4">
        <f>B181+$B$6</f>
        <v/>
      </c>
      <c r="C182" s="4">
        <f>C181+($B$6/2)*(D181+F181)</f>
        <v/>
      </c>
      <c r="D182" s="4">
        <f>$B$3*C182^(3/4)*(1-(C182/$B$4)^(1/4))</f>
        <v/>
      </c>
      <c r="E182" s="4">
        <f>C182+$B$6*D182</f>
        <v/>
      </c>
      <c r="F182" s="4">
        <f>$B$3*E182^(3/4)*(1-(E182/$B$4)^(1/4))</f>
        <v/>
      </c>
      <c r="G182" s="4">
        <f>( $B$8 + ($B$9-$B$8)*EXP(-$B$3*B182/(4*$B$8)) )^4</f>
        <v/>
      </c>
      <c r="H182" s="4">
        <f>ABS(C182-G182)</f>
        <v/>
      </c>
    </row>
    <row r="183">
      <c r="A183" s="4">
        <f>A182+1</f>
        <v/>
      </c>
      <c r="B183" s="4">
        <f>B182+$B$6</f>
        <v/>
      </c>
      <c r="C183" s="4">
        <f>C182+($B$6/2)*(D182+F182)</f>
        <v/>
      </c>
      <c r="D183" s="4">
        <f>$B$3*C183^(3/4)*(1-(C183/$B$4)^(1/4))</f>
        <v/>
      </c>
      <c r="E183" s="4">
        <f>C183+$B$6*D183</f>
        <v/>
      </c>
      <c r="F183" s="4">
        <f>$B$3*E183^(3/4)*(1-(E183/$B$4)^(1/4))</f>
        <v/>
      </c>
      <c r="G183" s="4">
        <f>( $B$8 + ($B$9-$B$8)*EXP(-$B$3*B183/(4*$B$8)) )^4</f>
        <v/>
      </c>
      <c r="H183" s="4">
        <f>ABS(C183-G183)</f>
        <v/>
      </c>
    </row>
    <row r="184">
      <c r="A184" s="4">
        <f>A183+1</f>
        <v/>
      </c>
      <c r="B184" s="4">
        <f>B183+$B$6</f>
        <v/>
      </c>
      <c r="C184" s="4">
        <f>C183+($B$6/2)*(D183+F183)</f>
        <v/>
      </c>
      <c r="D184" s="4">
        <f>$B$3*C184^(3/4)*(1-(C184/$B$4)^(1/4))</f>
        <v/>
      </c>
      <c r="E184" s="4">
        <f>C184+$B$6*D184</f>
        <v/>
      </c>
      <c r="F184" s="4">
        <f>$B$3*E184^(3/4)*(1-(E184/$B$4)^(1/4))</f>
        <v/>
      </c>
      <c r="G184" s="4">
        <f>( $B$8 + ($B$9-$B$8)*EXP(-$B$3*B184/(4*$B$8)) )^4</f>
        <v/>
      </c>
      <c r="H184" s="4">
        <f>ABS(C184-G184)</f>
        <v/>
      </c>
    </row>
    <row r="185">
      <c r="A185" s="4">
        <f>A184+1</f>
        <v/>
      </c>
      <c r="B185" s="4">
        <f>B184+$B$6</f>
        <v/>
      </c>
      <c r="C185" s="4">
        <f>C184+($B$6/2)*(D184+F184)</f>
        <v/>
      </c>
      <c r="D185" s="4">
        <f>$B$3*C185^(3/4)*(1-(C185/$B$4)^(1/4))</f>
        <v/>
      </c>
      <c r="E185" s="4">
        <f>C185+$B$6*D185</f>
        <v/>
      </c>
      <c r="F185" s="4">
        <f>$B$3*E185^(3/4)*(1-(E185/$B$4)^(1/4))</f>
        <v/>
      </c>
      <c r="G185" s="4">
        <f>( $B$8 + ($B$9-$B$8)*EXP(-$B$3*B185/(4*$B$8)) )^4</f>
        <v/>
      </c>
      <c r="H185" s="4">
        <f>ABS(C185-G185)</f>
        <v/>
      </c>
    </row>
    <row r="186">
      <c r="A186" s="4">
        <f>A185+1</f>
        <v/>
      </c>
      <c r="B186" s="4">
        <f>B185+$B$6</f>
        <v/>
      </c>
      <c r="C186" s="4">
        <f>C185+($B$6/2)*(D185+F185)</f>
        <v/>
      </c>
      <c r="D186" s="4">
        <f>$B$3*C186^(3/4)*(1-(C186/$B$4)^(1/4))</f>
        <v/>
      </c>
      <c r="E186" s="4">
        <f>C186+$B$6*D186</f>
        <v/>
      </c>
      <c r="F186" s="4">
        <f>$B$3*E186^(3/4)*(1-(E186/$B$4)^(1/4))</f>
        <v/>
      </c>
      <c r="G186" s="4">
        <f>( $B$8 + ($B$9-$B$8)*EXP(-$B$3*B186/(4*$B$8)) )^4</f>
        <v/>
      </c>
      <c r="H186" s="4">
        <f>ABS(C186-G186)</f>
        <v/>
      </c>
    </row>
    <row r="187">
      <c r="A187" s="4">
        <f>A186+1</f>
        <v/>
      </c>
      <c r="B187" s="4">
        <f>B186+$B$6</f>
        <v/>
      </c>
      <c r="C187" s="4">
        <f>C186+($B$6/2)*(D186+F186)</f>
        <v/>
      </c>
      <c r="D187" s="4">
        <f>$B$3*C187^(3/4)*(1-(C187/$B$4)^(1/4))</f>
        <v/>
      </c>
      <c r="E187" s="4">
        <f>C187+$B$6*D187</f>
        <v/>
      </c>
      <c r="F187" s="4">
        <f>$B$3*E187^(3/4)*(1-(E187/$B$4)^(1/4))</f>
        <v/>
      </c>
      <c r="G187" s="4">
        <f>( $B$8 + ($B$9-$B$8)*EXP(-$B$3*B187/(4*$B$8)) )^4</f>
        <v/>
      </c>
      <c r="H187" s="4">
        <f>ABS(C187-G187)</f>
        <v/>
      </c>
    </row>
    <row r="188">
      <c r="A188" s="4">
        <f>A187+1</f>
        <v/>
      </c>
      <c r="B188" s="4">
        <f>B187+$B$6</f>
        <v/>
      </c>
      <c r="C188" s="4">
        <f>C187+($B$6/2)*(D187+F187)</f>
        <v/>
      </c>
      <c r="D188" s="4">
        <f>$B$3*C188^(3/4)*(1-(C188/$B$4)^(1/4))</f>
        <v/>
      </c>
      <c r="E188" s="4">
        <f>C188+$B$6*D188</f>
        <v/>
      </c>
      <c r="F188" s="4">
        <f>$B$3*E188^(3/4)*(1-(E188/$B$4)^(1/4))</f>
        <v/>
      </c>
      <c r="G188" s="4">
        <f>( $B$8 + ($B$9-$B$8)*EXP(-$B$3*B188/(4*$B$8)) )^4</f>
        <v/>
      </c>
      <c r="H188" s="4">
        <f>ABS(C188-G188)</f>
        <v/>
      </c>
    </row>
    <row r="189">
      <c r="A189" s="4">
        <f>A188+1</f>
        <v/>
      </c>
      <c r="B189" s="4">
        <f>B188+$B$6</f>
        <v/>
      </c>
      <c r="C189" s="4">
        <f>C188+($B$6/2)*(D188+F188)</f>
        <v/>
      </c>
      <c r="D189" s="4">
        <f>$B$3*C189^(3/4)*(1-(C189/$B$4)^(1/4))</f>
        <v/>
      </c>
      <c r="E189" s="4">
        <f>C189+$B$6*D189</f>
        <v/>
      </c>
      <c r="F189" s="4">
        <f>$B$3*E189^(3/4)*(1-(E189/$B$4)^(1/4))</f>
        <v/>
      </c>
      <c r="G189" s="4">
        <f>( $B$8 + ($B$9-$B$8)*EXP(-$B$3*B189/(4*$B$8)) )^4</f>
        <v/>
      </c>
      <c r="H189" s="4">
        <f>ABS(C189-G189)</f>
        <v/>
      </c>
    </row>
    <row r="190">
      <c r="A190" s="4">
        <f>A189+1</f>
        <v/>
      </c>
      <c r="B190" s="4">
        <f>B189+$B$6</f>
        <v/>
      </c>
      <c r="C190" s="4">
        <f>C189+($B$6/2)*(D189+F189)</f>
        <v/>
      </c>
      <c r="D190" s="4">
        <f>$B$3*C190^(3/4)*(1-(C190/$B$4)^(1/4))</f>
        <v/>
      </c>
      <c r="E190" s="4">
        <f>C190+$B$6*D190</f>
        <v/>
      </c>
      <c r="F190" s="4">
        <f>$B$3*E190^(3/4)*(1-(E190/$B$4)^(1/4))</f>
        <v/>
      </c>
      <c r="G190" s="4">
        <f>( $B$8 + ($B$9-$B$8)*EXP(-$B$3*B190/(4*$B$8)) )^4</f>
        <v/>
      </c>
      <c r="H190" s="4">
        <f>ABS(C190-G190)</f>
        <v/>
      </c>
    </row>
    <row r="191">
      <c r="A191" s="4">
        <f>A190+1</f>
        <v/>
      </c>
      <c r="B191" s="4">
        <f>B190+$B$6</f>
        <v/>
      </c>
      <c r="C191" s="4">
        <f>C190+($B$6/2)*(D190+F190)</f>
        <v/>
      </c>
      <c r="D191" s="4">
        <f>$B$3*C191^(3/4)*(1-(C191/$B$4)^(1/4))</f>
        <v/>
      </c>
      <c r="E191" s="4">
        <f>C191+$B$6*D191</f>
        <v/>
      </c>
      <c r="F191" s="4">
        <f>$B$3*E191^(3/4)*(1-(E191/$B$4)^(1/4))</f>
        <v/>
      </c>
      <c r="G191" s="4">
        <f>( $B$8 + ($B$9-$B$8)*EXP(-$B$3*B191/(4*$B$8)) )^4</f>
        <v/>
      </c>
      <c r="H191" s="4">
        <f>ABS(C191-G191)</f>
        <v/>
      </c>
    </row>
    <row r="192">
      <c r="A192" s="4">
        <f>A191+1</f>
        <v/>
      </c>
      <c r="B192" s="4">
        <f>B191+$B$6</f>
        <v/>
      </c>
      <c r="C192" s="4">
        <f>C191+($B$6/2)*(D191+F191)</f>
        <v/>
      </c>
      <c r="D192" s="4">
        <f>$B$3*C192^(3/4)*(1-(C192/$B$4)^(1/4))</f>
        <v/>
      </c>
      <c r="E192" s="4">
        <f>C192+$B$6*D192</f>
        <v/>
      </c>
      <c r="F192" s="4">
        <f>$B$3*E192^(3/4)*(1-(E192/$B$4)^(1/4))</f>
        <v/>
      </c>
      <c r="G192" s="4">
        <f>( $B$8 + ($B$9-$B$8)*EXP(-$B$3*B192/(4*$B$8)) )^4</f>
        <v/>
      </c>
      <c r="H192" s="4">
        <f>ABS(C192-G192)</f>
        <v/>
      </c>
    </row>
    <row r="193">
      <c r="A193" s="4">
        <f>A192+1</f>
        <v/>
      </c>
      <c r="B193" s="4">
        <f>B192+$B$6</f>
        <v/>
      </c>
      <c r="C193" s="4">
        <f>C192+($B$6/2)*(D192+F192)</f>
        <v/>
      </c>
      <c r="D193" s="4">
        <f>$B$3*C193^(3/4)*(1-(C193/$B$4)^(1/4))</f>
        <v/>
      </c>
      <c r="E193" s="4">
        <f>C193+$B$6*D193</f>
        <v/>
      </c>
      <c r="F193" s="4">
        <f>$B$3*E193^(3/4)*(1-(E193/$B$4)^(1/4))</f>
        <v/>
      </c>
      <c r="G193" s="4">
        <f>( $B$8 + ($B$9-$B$8)*EXP(-$B$3*B193/(4*$B$8)) )^4</f>
        <v/>
      </c>
      <c r="H193" s="4">
        <f>ABS(C193-G193)</f>
        <v/>
      </c>
    </row>
    <row r="194">
      <c r="A194" s="4">
        <f>A193+1</f>
        <v/>
      </c>
      <c r="B194" s="4">
        <f>B193+$B$6</f>
        <v/>
      </c>
      <c r="C194" s="4">
        <f>C193+($B$6/2)*(D193+F193)</f>
        <v/>
      </c>
      <c r="D194" s="4">
        <f>$B$3*C194^(3/4)*(1-(C194/$B$4)^(1/4))</f>
        <v/>
      </c>
      <c r="E194" s="4">
        <f>C194+$B$6*D194</f>
        <v/>
      </c>
      <c r="F194" s="4">
        <f>$B$3*E194^(3/4)*(1-(E194/$B$4)^(1/4))</f>
        <v/>
      </c>
      <c r="G194" s="4">
        <f>( $B$8 + ($B$9-$B$8)*EXP(-$B$3*B194/(4*$B$8)) )^4</f>
        <v/>
      </c>
      <c r="H194" s="4">
        <f>ABS(C194-G194)</f>
        <v/>
      </c>
    </row>
    <row r="195">
      <c r="A195" s="4">
        <f>A194+1</f>
        <v/>
      </c>
      <c r="B195" s="4">
        <f>B194+$B$6</f>
        <v/>
      </c>
      <c r="C195" s="4">
        <f>C194+($B$6/2)*(D194+F194)</f>
        <v/>
      </c>
      <c r="D195" s="4">
        <f>$B$3*C195^(3/4)*(1-(C195/$B$4)^(1/4))</f>
        <v/>
      </c>
      <c r="E195" s="4">
        <f>C195+$B$6*D195</f>
        <v/>
      </c>
      <c r="F195" s="4">
        <f>$B$3*E195^(3/4)*(1-(E195/$B$4)^(1/4))</f>
        <v/>
      </c>
      <c r="G195" s="4">
        <f>( $B$8 + ($B$9-$B$8)*EXP(-$B$3*B195/(4*$B$8)) )^4</f>
        <v/>
      </c>
      <c r="H195" s="4">
        <f>ABS(C195-G195)</f>
        <v/>
      </c>
    </row>
    <row r="196">
      <c r="A196" s="4">
        <f>A195+1</f>
        <v/>
      </c>
      <c r="B196" s="4">
        <f>B195+$B$6</f>
        <v/>
      </c>
      <c r="C196" s="4">
        <f>C195+($B$6/2)*(D195+F195)</f>
        <v/>
      </c>
      <c r="D196" s="4">
        <f>$B$3*C196^(3/4)*(1-(C196/$B$4)^(1/4))</f>
        <v/>
      </c>
      <c r="E196" s="4">
        <f>C196+$B$6*D196</f>
        <v/>
      </c>
      <c r="F196" s="4">
        <f>$B$3*E196^(3/4)*(1-(E196/$B$4)^(1/4))</f>
        <v/>
      </c>
      <c r="G196" s="4">
        <f>( $B$8 + ($B$9-$B$8)*EXP(-$B$3*B196/(4*$B$8)) )^4</f>
        <v/>
      </c>
      <c r="H196" s="4">
        <f>ABS(C196-G196)</f>
        <v/>
      </c>
    </row>
    <row r="197">
      <c r="A197" s="4">
        <f>A196+1</f>
        <v/>
      </c>
      <c r="B197" s="4">
        <f>B196+$B$6</f>
        <v/>
      </c>
      <c r="C197" s="4">
        <f>C196+($B$6/2)*(D196+F196)</f>
        <v/>
      </c>
      <c r="D197" s="4">
        <f>$B$3*C197^(3/4)*(1-(C197/$B$4)^(1/4))</f>
        <v/>
      </c>
      <c r="E197" s="4">
        <f>C197+$B$6*D197</f>
        <v/>
      </c>
      <c r="F197" s="4">
        <f>$B$3*E197^(3/4)*(1-(E197/$B$4)^(1/4))</f>
        <v/>
      </c>
      <c r="G197" s="4">
        <f>( $B$8 + ($B$9-$B$8)*EXP(-$B$3*B197/(4*$B$8)) )^4</f>
        <v/>
      </c>
      <c r="H197" s="4">
        <f>ABS(C197-G197)</f>
        <v/>
      </c>
    </row>
    <row r="198">
      <c r="A198" s="4">
        <f>A197+1</f>
        <v/>
      </c>
      <c r="B198" s="4">
        <f>B197+$B$6</f>
        <v/>
      </c>
      <c r="C198" s="4">
        <f>C197+($B$6/2)*(D197+F197)</f>
        <v/>
      </c>
      <c r="D198" s="4">
        <f>$B$3*C198^(3/4)*(1-(C198/$B$4)^(1/4))</f>
        <v/>
      </c>
      <c r="E198" s="4">
        <f>C198+$B$6*D198</f>
        <v/>
      </c>
      <c r="F198" s="4">
        <f>$B$3*E198^(3/4)*(1-(E198/$B$4)^(1/4))</f>
        <v/>
      </c>
      <c r="G198" s="4">
        <f>( $B$8 + ($B$9-$B$8)*EXP(-$B$3*B198/(4*$B$8)) )^4</f>
        <v/>
      </c>
      <c r="H198" s="4">
        <f>ABS(C198-G198)</f>
        <v/>
      </c>
    </row>
    <row r="199">
      <c r="A199" s="4">
        <f>A198+1</f>
        <v/>
      </c>
      <c r="B199" s="4">
        <f>B198+$B$6</f>
        <v/>
      </c>
      <c r="C199" s="4">
        <f>C198+($B$6/2)*(D198+F198)</f>
        <v/>
      </c>
      <c r="D199" s="4">
        <f>$B$3*C199^(3/4)*(1-(C199/$B$4)^(1/4))</f>
        <v/>
      </c>
      <c r="E199" s="4">
        <f>C199+$B$6*D199</f>
        <v/>
      </c>
      <c r="F199" s="4">
        <f>$B$3*E199^(3/4)*(1-(E199/$B$4)^(1/4))</f>
        <v/>
      </c>
      <c r="G199" s="4">
        <f>( $B$8 + ($B$9-$B$8)*EXP(-$B$3*B199/(4*$B$8)) )^4</f>
        <v/>
      </c>
      <c r="H199" s="4">
        <f>ABS(C199-G199)</f>
        <v/>
      </c>
    </row>
    <row r="200">
      <c r="A200" s="4">
        <f>A199+1</f>
        <v/>
      </c>
      <c r="B200" s="4">
        <f>B199+$B$6</f>
        <v/>
      </c>
      <c r="C200" s="4">
        <f>C199+($B$6/2)*(D199+F199)</f>
        <v/>
      </c>
      <c r="D200" s="4">
        <f>$B$3*C200^(3/4)*(1-(C200/$B$4)^(1/4))</f>
        <v/>
      </c>
      <c r="E200" s="4">
        <f>C200+$B$6*D200</f>
        <v/>
      </c>
      <c r="F200" s="4">
        <f>$B$3*E200^(3/4)*(1-(E200/$B$4)^(1/4))</f>
        <v/>
      </c>
      <c r="G200" s="4">
        <f>( $B$8 + ($B$9-$B$8)*EXP(-$B$3*B200/(4*$B$8)) )^4</f>
        <v/>
      </c>
      <c r="H200" s="4">
        <f>ABS(C200-G200)</f>
        <v/>
      </c>
    </row>
    <row r="201">
      <c r="A201" s="4">
        <f>A200+1</f>
        <v/>
      </c>
      <c r="B201" s="4">
        <f>B200+$B$6</f>
        <v/>
      </c>
      <c r="C201" s="4">
        <f>C200+($B$6/2)*(D200+F200)</f>
        <v/>
      </c>
      <c r="D201" s="4">
        <f>$B$3*C201^(3/4)*(1-(C201/$B$4)^(1/4))</f>
        <v/>
      </c>
      <c r="E201" s="4">
        <f>C201+$B$6*D201</f>
        <v/>
      </c>
      <c r="F201" s="4">
        <f>$B$3*E201^(3/4)*(1-(E201/$B$4)^(1/4))</f>
        <v/>
      </c>
      <c r="G201" s="4">
        <f>( $B$8 + ($B$9-$B$8)*EXP(-$B$3*B201/(4*$B$8)) )^4</f>
        <v/>
      </c>
      <c r="H201" s="4">
        <f>ABS(C201-G201)</f>
        <v/>
      </c>
    </row>
    <row r="202">
      <c r="A202" s="4">
        <f>A201+1</f>
        <v/>
      </c>
      <c r="B202" s="4">
        <f>B201+$B$6</f>
        <v/>
      </c>
      <c r="C202" s="4">
        <f>C201+($B$6/2)*(D201+F201)</f>
        <v/>
      </c>
      <c r="D202" s="4">
        <f>$B$3*C202^(3/4)*(1-(C202/$B$4)^(1/4))</f>
        <v/>
      </c>
      <c r="E202" s="4">
        <f>C202+$B$6*D202</f>
        <v/>
      </c>
      <c r="F202" s="4">
        <f>$B$3*E202^(3/4)*(1-(E202/$B$4)^(1/4))</f>
        <v/>
      </c>
      <c r="G202" s="4">
        <f>( $B$8 + ($B$9-$B$8)*EXP(-$B$3*B202/(4*$B$8)) )^4</f>
        <v/>
      </c>
      <c r="H202" s="4">
        <f>ABS(C202-G202)</f>
        <v/>
      </c>
    </row>
    <row r="203">
      <c r="A203" s="4">
        <f>A202+1</f>
        <v/>
      </c>
      <c r="B203" s="4">
        <f>B202+$B$6</f>
        <v/>
      </c>
      <c r="C203" s="4">
        <f>C202+($B$6/2)*(D202+F202)</f>
        <v/>
      </c>
      <c r="D203" s="4">
        <f>$B$3*C203^(3/4)*(1-(C203/$B$4)^(1/4))</f>
        <v/>
      </c>
      <c r="E203" s="4">
        <f>C203+$B$6*D203</f>
        <v/>
      </c>
      <c r="F203" s="4">
        <f>$B$3*E203^(3/4)*(1-(E203/$B$4)^(1/4))</f>
        <v/>
      </c>
      <c r="G203" s="4">
        <f>( $B$8 + ($B$9-$B$8)*EXP(-$B$3*B203/(4*$B$8)) )^4</f>
        <v/>
      </c>
      <c r="H203" s="4">
        <f>ABS(C203-G203)</f>
        <v/>
      </c>
    </row>
    <row r="204">
      <c r="A204" s="4">
        <f>A203+1</f>
        <v/>
      </c>
      <c r="B204" s="4">
        <f>B203+$B$6</f>
        <v/>
      </c>
      <c r="C204" s="4">
        <f>C203+($B$6/2)*(D203+F203)</f>
        <v/>
      </c>
      <c r="D204" s="4">
        <f>$B$3*C204^(3/4)*(1-(C204/$B$4)^(1/4))</f>
        <v/>
      </c>
      <c r="E204" s="4">
        <f>C204+$B$6*D204</f>
        <v/>
      </c>
      <c r="F204" s="4">
        <f>$B$3*E204^(3/4)*(1-(E204/$B$4)^(1/4))</f>
        <v/>
      </c>
      <c r="G204" s="4">
        <f>( $B$8 + ($B$9-$B$8)*EXP(-$B$3*B204/(4*$B$8)) )^4</f>
        <v/>
      </c>
      <c r="H204" s="4">
        <f>ABS(C204-G204)</f>
        <v/>
      </c>
    </row>
    <row r="205">
      <c r="A205" s="4">
        <f>A204+1</f>
        <v/>
      </c>
      <c r="B205" s="4">
        <f>B204+$B$6</f>
        <v/>
      </c>
      <c r="C205" s="4">
        <f>C204+($B$6/2)*(D204+F204)</f>
        <v/>
      </c>
      <c r="D205" s="4">
        <f>$B$3*C205^(3/4)*(1-(C205/$B$4)^(1/4))</f>
        <v/>
      </c>
      <c r="E205" s="4">
        <f>C205+$B$6*D205</f>
        <v/>
      </c>
      <c r="F205" s="4">
        <f>$B$3*E205^(3/4)*(1-(E205/$B$4)^(1/4))</f>
        <v/>
      </c>
      <c r="G205" s="4">
        <f>( $B$8 + ($B$9-$B$8)*EXP(-$B$3*B205/(4*$B$8)) )^4</f>
        <v/>
      </c>
      <c r="H205" s="4">
        <f>ABS(C205-G205)</f>
        <v/>
      </c>
    </row>
    <row r="206">
      <c r="A206" s="4">
        <f>A205+1</f>
        <v/>
      </c>
      <c r="B206" s="4">
        <f>B205+$B$6</f>
        <v/>
      </c>
      <c r="C206" s="4">
        <f>C205+($B$6/2)*(D205+F205)</f>
        <v/>
      </c>
      <c r="D206" s="4">
        <f>$B$3*C206^(3/4)*(1-(C206/$B$4)^(1/4))</f>
        <v/>
      </c>
      <c r="E206" s="4">
        <f>C206+$B$6*D206</f>
        <v/>
      </c>
      <c r="F206" s="4">
        <f>$B$3*E206^(3/4)*(1-(E206/$B$4)^(1/4))</f>
        <v/>
      </c>
      <c r="G206" s="4">
        <f>( $B$8 + ($B$9-$B$8)*EXP(-$B$3*B206/(4*$B$8)) )^4</f>
        <v/>
      </c>
      <c r="H206" s="4">
        <f>ABS(C206-G206)</f>
        <v/>
      </c>
    </row>
    <row r="207">
      <c r="A207" s="4">
        <f>A206+1</f>
        <v/>
      </c>
      <c r="B207" s="4">
        <f>B206+$B$6</f>
        <v/>
      </c>
      <c r="C207" s="4">
        <f>C206+($B$6/2)*(D206+F206)</f>
        <v/>
      </c>
      <c r="D207" s="4">
        <f>$B$3*C207^(3/4)*(1-(C207/$B$4)^(1/4))</f>
        <v/>
      </c>
      <c r="E207" s="4">
        <f>C207+$B$6*D207</f>
        <v/>
      </c>
      <c r="F207" s="4">
        <f>$B$3*E207^(3/4)*(1-(E207/$B$4)^(1/4))</f>
        <v/>
      </c>
      <c r="G207" s="4">
        <f>( $B$8 + ($B$9-$B$8)*EXP(-$B$3*B207/(4*$B$8)) )^4</f>
        <v/>
      </c>
      <c r="H207" s="4">
        <f>ABS(C207-G207)</f>
        <v/>
      </c>
    </row>
    <row r="208">
      <c r="A208" s="4">
        <f>A207+1</f>
        <v/>
      </c>
      <c r="B208" s="4">
        <f>B207+$B$6</f>
        <v/>
      </c>
      <c r="C208" s="4">
        <f>C207+($B$6/2)*(D207+F207)</f>
        <v/>
      </c>
      <c r="D208" s="4">
        <f>$B$3*C208^(3/4)*(1-(C208/$B$4)^(1/4))</f>
        <v/>
      </c>
      <c r="E208" s="4">
        <f>C208+$B$6*D208</f>
        <v/>
      </c>
      <c r="F208" s="4">
        <f>$B$3*E208^(3/4)*(1-(E208/$B$4)^(1/4))</f>
        <v/>
      </c>
      <c r="G208" s="4">
        <f>( $B$8 + ($B$9-$B$8)*EXP(-$B$3*B208/(4*$B$8)) )^4</f>
        <v/>
      </c>
      <c r="H208" s="4">
        <f>ABS(C208-G208)</f>
        <v/>
      </c>
    </row>
    <row r="209">
      <c r="A209" s="4">
        <f>A208+1</f>
        <v/>
      </c>
      <c r="B209" s="4">
        <f>B208+$B$6</f>
        <v/>
      </c>
      <c r="C209" s="4">
        <f>C208+($B$6/2)*(D208+F208)</f>
        <v/>
      </c>
      <c r="D209" s="4">
        <f>$B$3*C209^(3/4)*(1-(C209/$B$4)^(1/4))</f>
        <v/>
      </c>
      <c r="E209" s="4">
        <f>C209+$B$6*D209</f>
        <v/>
      </c>
      <c r="F209" s="4">
        <f>$B$3*E209^(3/4)*(1-(E209/$B$4)^(1/4))</f>
        <v/>
      </c>
      <c r="G209" s="4">
        <f>( $B$8 + ($B$9-$B$8)*EXP(-$B$3*B209/(4*$B$8)) )^4</f>
        <v/>
      </c>
      <c r="H209" s="4">
        <f>ABS(C209-G209)</f>
        <v/>
      </c>
    </row>
    <row r="210">
      <c r="A210" s="4">
        <f>A209+1</f>
        <v/>
      </c>
      <c r="B210" s="4">
        <f>B209+$B$6</f>
        <v/>
      </c>
      <c r="C210" s="4">
        <f>C209+($B$6/2)*(D209+F209)</f>
        <v/>
      </c>
      <c r="D210" s="4">
        <f>$B$3*C210^(3/4)*(1-(C210/$B$4)^(1/4))</f>
        <v/>
      </c>
      <c r="E210" s="4">
        <f>C210+$B$6*D210</f>
        <v/>
      </c>
      <c r="F210" s="4">
        <f>$B$3*E210^(3/4)*(1-(E210/$B$4)^(1/4))</f>
        <v/>
      </c>
      <c r="G210" s="4">
        <f>( $B$8 + ($B$9-$B$8)*EXP(-$B$3*B210/(4*$B$8)) )^4</f>
        <v/>
      </c>
      <c r="H210" s="4">
        <f>ABS(C210-G210)</f>
        <v/>
      </c>
    </row>
    <row r="211">
      <c r="A211" s="4">
        <f>A210+1</f>
        <v/>
      </c>
      <c r="B211" s="4">
        <f>B210+$B$6</f>
        <v/>
      </c>
      <c r="C211" s="4">
        <f>C210+($B$6/2)*(D210+F210)</f>
        <v/>
      </c>
      <c r="D211" s="4">
        <f>$B$3*C211^(3/4)*(1-(C211/$B$4)^(1/4))</f>
        <v/>
      </c>
      <c r="E211" s="4">
        <f>C211+$B$6*D211</f>
        <v/>
      </c>
      <c r="F211" s="4">
        <f>$B$3*E211^(3/4)*(1-(E211/$B$4)^(1/4))</f>
        <v/>
      </c>
      <c r="G211" s="4">
        <f>( $B$8 + ($B$9-$B$8)*EXP(-$B$3*B211/(4*$B$8)) )^4</f>
        <v/>
      </c>
      <c r="H211" s="4">
        <f>ABS(C211-G211)</f>
        <v/>
      </c>
    </row>
    <row r="212">
      <c r="A212" s="4">
        <f>A211+1</f>
        <v/>
      </c>
      <c r="B212" s="4">
        <f>B211+$B$6</f>
        <v/>
      </c>
      <c r="C212" s="4">
        <f>C211+($B$6/2)*(D211+F211)</f>
        <v/>
      </c>
      <c r="D212" s="4">
        <f>$B$3*C212^(3/4)*(1-(C212/$B$4)^(1/4))</f>
        <v/>
      </c>
      <c r="E212" s="4">
        <f>C212+$B$6*D212</f>
        <v/>
      </c>
      <c r="F212" s="4">
        <f>$B$3*E212^(3/4)*(1-(E212/$B$4)^(1/4))</f>
        <v/>
      </c>
      <c r="G212" s="4">
        <f>( $B$8 + ($B$9-$B$8)*EXP(-$B$3*B212/(4*$B$8)) )^4</f>
        <v/>
      </c>
      <c r="H212" s="4">
        <f>ABS(C212-G212)</f>
        <v/>
      </c>
    </row>
    <row r="213">
      <c r="A213" s="4">
        <f>A212+1</f>
        <v/>
      </c>
      <c r="B213" s="4">
        <f>B212+$B$6</f>
        <v/>
      </c>
      <c r="C213" s="4">
        <f>C212+($B$6/2)*(D212+F212)</f>
        <v/>
      </c>
      <c r="D213" s="4">
        <f>$B$3*C213^(3/4)*(1-(C213/$B$4)^(1/4))</f>
        <v/>
      </c>
      <c r="E213" s="4">
        <f>C213+$B$6*D213</f>
        <v/>
      </c>
      <c r="F213" s="4">
        <f>$B$3*E213^(3/4)*(1-(E213/$B$4)^(1/4))</f>
        <v/>
      </c>
      <c r="G213" s="4">
        <f>( $B$8 + ($B$9-$B$8)*EXP(-$B$3*B213/(4*$B$8)) )^4</f>
        <v/>
      </c>
      <c r="H213" s="4">
        <f>ABS(C213-G213)</f>
        <v/>
      </c>
    </row>
    <row r="214">
      <c r="A214" s="4">
        <f>A213+1</f>
        <v/>
      </c>
      <c r="B214" s="4">
        <f>B213+$B$6</f>
        <v/>
      </c>
      <c r="C214" s="4">
        <f>C213+($B$6/2)*(D213+F213)</f>
        <v/>
      </c>
      <c r="D214" s="4">
        <f>$B$3*C214^(3/4)*(1-(C214/$B$4)^(1/4))</f>
        <v/>
      </c>
      <c r="E214" s="4">
        <f>C214+$B$6*D214</f>
        <v/>
      </c>
      <c r="F214" s="4">
        <f>$B$3*E214^(3/4)*(1-(E214/$B$4)^(1/4))</f>
        <v/>
      </c>
      <c r="G214" s="4">
        <f>( $B$8 + ($B$9-$B$8)*EXP(-$B$3*B214/(4*$B$8)) )^4</f>
        <v/>
      </c>
      <c r="H214" s="4">
        <f>ABS(C214-G214)</f>
        <v/>
      </c>
    </row>
    <row r="215">
      <c r="A215" s="4">
        <f>A214+1</f>
        <v/>
      </c>
      <c r="B215" s="4">
        <f>B214+$B$6</f>
        <v/>
      </c>
      <c r="C215" s="4">
        <f>C214+($B$6/2)*(D214+F214)</f>
        <v/>
      </c>
      <c r="D215" s="4">
        <f>$B$3*C215^(3/4)*(1-(C215/$B$4)^(1/4))</f>
        <v/>
      </c>
      <c r="E215" s="4">
        <f>C215+$B$6*D215</f>
        <v/>
      </c>
      <c r="F215" s="4">
        <f>$B$3*E215^(3/4)*(1-(E215/$B$4)^(1/4))</f>
        <v/>
      </c>
      <c r="G215" s="4">
        <f>( $B$8 + ($B$9-$B$8)*EXP(-$B$3*B215/(4*$B$8)) )^4</f>
        <v/>
      </c>
      <c r="H215" s="4">
        <f>ABS(C215-G215)</f>
        <v/>
      </c>
    </row>
    <row r="216">
      <c r="A216" s="4">
        <f>A215+1</f>
        <v/>
      </c>
      <c r="B216" s="4">
        <f>B215+$B$6</f>
        <v/>
      </c>
      <c r="C216" s="4">
        <f>C215+($B$6/2)*(D215+F215)</f>
        <v/>
      </c>
      <c r="D216" s="4">
        <f>$B$3*C216^(3/4)*(1-(C216/$B$4)^(1/4))</f>
        <v/>
      </c>
      <c r="E216" s="4">
        <f>C216+$B$6*D216</f>
        <v/>
      </c>
      <c r="F216" s="4">
        <f>$B$3*E216^(3/4)*(1-(E216/$B$4)^(1/4))</f>
        <v/>
      </c>
      <c r="G216" s="4">
        <f>( $B$8 + ($B$9-$B$8)*EXP(-$B$3*B216/(4*$B$8)) )^4</f>
        <v/>
      </c>
      <c r="H216" s="4">
        <f>ABS(C216-G216)</f>
        <v/>
      </c>
    </row>
    <row r="217">
      <c r="A217" s="4">
        <f>A216+1</f>
        <v/>
      </c>
      <c r="B217" s="4">
        <f>B216+$B$6</f>
        <v/>
      </c>
      <c r="C217" s="4">
        <f>C216+($B$6/2)*(D216+F216)</f>
        <v/>
      </c>
      <c r="D217" s="4">
        <f>$B$3*C217^(3/4)*(1-(C217/$B$4)^(1/4))</f>
        <v/>
      </c>
      <c r="E217" s="4">
        <f>C217+$B$6*D217</f>
        <v/>
      </c>
      <c r="F217" s="4">
        <f>$B$3*E217^(3/4)*(1-(E217/$B$4)^(1/4))</f>
        <v/>
      </c>
      <c r="G217" s="4">
        <f>( $B$8 + ($B$9-$B$8)*EXP(-$B$3*B217/(4*$B$8)) )^4</f>
        <v/>
      </c>
      <c r="H217" s="4">
        <f>ABS(C217-G217)</f>
        <v/>
      </c>
    </row>
    <row r="218">
      <c r="A218" s="4">
        <f>A217+1</f>
        <v/>
      </c>
      <c r="B218" s="4">
        <f>B217+$B$6</f>
        <v/>
      </c>
      <c r="C218" s="4">
        <f>C217+($B$6/2)*(D217+F217)</f>
        <v/>
      </c>
      <c r="D218" s="4">
        <f>$B$3*C218^(3/4)*(1-(C218/$B$4)^(1/4))</f>
        <v/>
      </c>
      <c r="E218" s="4">
        <f>C218+$B$6*D218</f>
        <v/>
      </c>
      <c r="F218" s="4">
        <f>$B$3*E218^(3/4)*(1-(E218/$B$4)^(1/4))</f>
        <v/>
      </c>
      <c r="G218" s="4">
        <f>( $B$8 + ($B$9-$B$8)*EXP(-$B$3*B218/(4*$B$8)) )^4</f>
        <v/>
      </c>
      <c r="H218" s="4">
        <f>ABS(C218-G218)</f>
        <v/>
      </c>
    </row>
    <row r="219">
      <c r="A219" s="4">
        <f>A218+1</f>
        <v/>
      </c>
      <c r="B219" s="4">
        <f>B218+$B$6</f>
        <v/>
      </c>
      <c r="C219" s="4">
        <f>C218+($B$6/2)*(D218+F218)</f>
        <v/>
      </c>
      <c r="D219" s="4">
        <f>$B$3*C219^(3/4)*(1-(C219/$B$4)^(1/4))</f>
        <v/>
      </c>
      <c r="E219" s="4">
        <f>C219+$B$6*D219</f>
        <v/>
      </c>
      <c r="F219" s="4">
        <f>$B$3*E219^(3/4)*(1-(E219/$B$4)^(1/4))</f>
        <v/>
      </c>
      <c r="G219" s="4">
        <f>( $B$8 + ($B$9-$B$8)*EXP(-$B$3*B219/(4*$B$8)) )^4</f>
        <v/>
      </c>
      <c r="H219" s="4">
        <f>ABS(C219-G219)</f>
        <v/>
      </c>
    </row>
    <row r="220">
      <c r="A220" s="4">
        <f>A219+1</f>
        <v/>
      </c>
      <c r="B220" s="4">
        <f>B219+$B$6</f>
        <v/>
      </c>
      <c r="C220" s="4">
        <f>C219+($B$6/2)*(D219+F219)</f>
        <v/>
      </c>
      <c r="D220" s="4">
        <f>$B$3*C220^(3/4)*(1-(C220/$B$4)^(1/4))</f>
        <v/>
      </c>
      <c r="E220" s="4">
        <f>C220+$B$6*D220</f>
        <v/>
      </c>
      <c r="F220" s="4">
        <f>$B$3*E220^(3/4)*(1-(E220/$B$4)^(1/4))</f>
        <v/>
      </c>
      <c r="G220" s="4">
        <f>( $B$8 + ($B$9-$B$8)*EXP(-$B$3*B220/(4*$B$8)) )^4</f>
        <v/>
      </c>
      <c r="H220" s="4">
        <f>ABS(C220-G220)</f>
        <v/>
      </c>
    </row>
    <row r="221">
      <c r="A221" s="4">
        <f>A220+1</f>
        <v/>
      </c>
      <c r="B221" s="4">
        <f>B220+$B$6</f>
        <v/>
      </c>
      <c r="C221" s="4">
        <f>C220+($B$6/2)*(D220+F220)</f>
        <v/>
      </c>
      <c r="D221" s="4">
        <f>$B$3*C221^(3/4)*(1-(C221/$B$4)^(1/4))</f>
        <v/>
      </c>
      <c r="E221" s="4">
        <f>C221+$B$6*D221</f>
        <v/>
      </c>
      <c r="F221" s="4">
        <f>$B$3*E221^(3/4)*(1-(E221/$B$4)^(1/4))</f>
        <v/>
      </c>
      <c r="G221" s="4">
        <f>( $B$8 + ($B$9-$B$8)*EXP(-$B$3*B221/(4*$B$8)) )^4</f>
        <v/>
      </c>
      <c r="H221" s="4">
        <f>ABS(C221-G221)</f>
        <v/>
      </c>
    </row>
    <row r="222">
      <c r="A222" s="4">
        <f>A221+1</f>
        <v/>
      </c>
      <c r="B222" s="4">
        <f>B221+$B$6</f>
        <v/>
      </c>
      <c r="C222" s="4">
        <f>C221+($B$6/2)*(D221+F221)</f>
        <v/>
      </c>
      <c r="D222" s="4">
        <f>$B$3*C222^(3/4)*(1-(C222/$B$4)^(1/4))</f>
        <v/>
      </c>
      <c r="E222" s="4">
        <f>C222+$B$6*D222</f>
        <v/>
      </c>
      <c r="F222" s="4">
        <f>$B$3*E222^(3/4)*(1-(E222/$B$4)^(1/4))</f>
        <v/>
      </c>
      <c r="G222" s="4">
        <f>( $B$8 + ($B$9-$B$8)*EXP(-$B$3*B222/(4*$B$8)) )^4</f>
        <v/>
      </c>
      <c r="H222" s="4">
        <f>ABS(C222-G222)</f>
        <v/>
      </c>
    </row>
    <row r="223">
      <c r="A223" s="4">
        <f>A222+1</f>
        <v/>
      </c>
      <c r="B223" s="4">
        <f>B222+$B$6</f>
        <v/>
      </c>
      <c r="C223" s="4">
        <f>C222+($B$6/2)*(D222+F222)</f>
        <v/>
      </c>
      <c r="D223" s="4">
        <f>$B$3*C223^(3/4)*(1-(C223/$B$4)^(1/4))</f>
        <v/>
      </c>
      <c r="E223" s="4">
        <f>C223+$B$6*D223</f>
        <v/>
      </c>
      <c r="F223" s="4">
        <f>$B$3*E223^(3/4)*(1-(E223/$B$4)^(1/4))</f>
        <v/>
      </c>
      <c r="G223" s="4">
        <f>( $B$8 + ($B$9-$B$8)*EXP(-$B$3*B223/(4*$B$8)) )^4</f>
        <v/>
      </c>
      <c r="H223" s="4">
        <f>ABS(C223-G223)</f>
        <v/>
      </c>
    </row>
    <row r="224">
      <c r="A224" s="4">
        <f>A223+1</f>
        <v/>
      </c>
      <c r="B224" s="4">
        <f>B223+$B$6</f>
        <v/>
      </c>
      <c r="C224" s="4">
        <f>C223+($B$6/2)*(D223+F223)</f>
        <v/>
      </c>
      <c r="D224" s="4">
        <f>$B$3*C224^(3/4)*(1-(C224/$B$4)^(1/4))</f>
        <v/>
      </c>
      <c r="E224" s="4">
        <f>C224+$B$6*D224</f>
        <v/>
      </c>
      <c r="F224" s="4">
        <f>$B$3*E224^(3/4)*(1-(E224/$B$4)^(1/4))</f>
        <v/>
      </c>
      <c r="G224" s="4">
        <f>( $B$8 + ($B$9-$B$8)*EXP(-$B$3*B224/(4*$B$8)) )^4</f>
        <v/>
      </c>
      <c r="H224" s="4">
        <f>ABS(C224-G224)</f>
        <v/>
      </c>
    </row>
    <row r="225">
      <c r="A225" s="4">
        <f>A224+1</f>
        <v/>
      </c>
      <c r="B225" s="4">
        <f>B224+$B$6</f>
        <v/>
      </c>
      <c r="C225" s="4">
        <f>C224+($B$6/2)*(D224+F224)</f>
        <v/>
      </c>
      <c r="D225" s="4">
        <f>$B$3*C225^(3/4)*(1-(C225/$B$4)^(1/4))</f>
        <v/>
      </c>
      <c r="E225" s="4">
        <f>C225+$B$6*D225</f>
        <v/>
      </c>
      <c r="F225" s="4">
        <f>$B$3*E225^(3/4)*(1-(E225/$B$4)^(1/4))</f>
        <v/>
      </c>
      <c r="G225" s="4">
        <f>( $B$8 + ($B$9-$B$8)*EXP(-$B$3*B225/(4*$B$8)) )^4</f>
        <v/>
      </c>
      <c r="H225" s="4">
        <f>ABS(C225-G225)</f>
        <v/>
      </c>
    </row>
    <row r="226">
      <c r="A226" s="4">
        <f>A225+1</f>
        <v/>
      </c>
      <c r="B226" s="4">
        <f>B225+$B$6</f>
        <v/>
      </c>
      <c r="C226" s="4">
        <f>C225+($B$6/2)*(D225+F225)</f>
        <v/>
      </c>
      <c r="D226" s="4">
        <f>$B$3*C226^(3/4)*(1-(C226/$B$4)^(1/4))</f>
        <v/>
      </c>
      <c r="E226" s="4">
        <f>C226+$B$6*D226</f>
        <v/>
      </c>
      <c r="F226" s="4">
        <f>$B$3*E226^(3/4)*(1-(E226/$B$4)^(1/4))</f>
        <v/>
      </c>
      <c r="G226" s="4">
        <f>( $B$8 + ($B$9-$B$8)*EXP(-$B$3*B226/(4*$B$8)) )^4</f>
        <v/>
      </c>
      <c r="H226" s="4">
        <f>ABS(C226-G226)</f>
        <v/>
      </c>
    </row>
    <row r="227">
      <c r="A227" s="4">
        <f>A226+1</f>
        <v/>
      </c>
      <c r="B227" s="4">
        <f>B226+$B$6</f>
        <v/>
      </c>
      <c r="C227" s="4">
        <f>C226+($B$6/2)*(D226+F226)</f>
        <v/>
      </c>
      <c r="D227" s="4">
        <f>$B$3*C227^(3/4)*(1-(C227/$B$4)^(1/4))</f>
        <v/>
      </c>
      <c r="E227" s="4">
        <f>C227+$B$6*D227</f>
        <v/>
      </c>
      <c r="F227" s="4">
        <f>$B$3*E227^(3/4)*(1-(E227/$B$4)^(1/4))</f>
        <v/>
      </c>
      <c r="G227" s="4">
        <f>( $B$8 + ($B$9-$B$8)*EXP(-$B$3*B227/(4*$B$8)) )^4</f>
        <v/>
      </c>
      <c r="H227" s="4">
        <f>ABS(C227-G227)</f>
        <v/>
      </c>
    </row>
    <row r="228">
      <c r="A228" s="4">
        <f>A227+1</f>
        <v/>
      </c>
      <c r="B228" s="4">
        <f>B227+$B$6</f>
        <v/>
      </c>
      <c r="C228" s="4">
        <f>C227+($B$6/2)*(D227+F227)</f>
        <v/>
      </c>
      <c r="D228" s="4">
        <f>$B$3*C228^(3/4)*(1-(C228/$B$4)^(1/4))</f>
        <v/>
      </c>
      <c r="E228" s="4">
        <f>C228+$B$6*D228</f>
        <v/>
      </c>
      <c r="F228" s="4">
        <f>$B$3*E228^(3/4)*(1-(E228/$B$4)^(1/4))</f>
        <v/>
      </c>
      <c r="G228" s="4">
        <f>( $B$8 + ($B$9-$B$8)*EXP(-$B$3*B228/(4*$B$8)) )^4</f>
        <v/>
      </c>
      <c r="H228" s="4">
        <f>ABS(C228-G228)</f>
        <v/>
      </c>
    </row>
    <row r="229">
      <c r="A229" s="4">
        <f>A228+1</f>
        <v/>
      </c>
      <c r="B229" s="4">
        <f>B228+$B$6</f>
        <v/>
      </c>
      <c r="C229" s="4">
        <f>C228+($B$6/2)*(D228+F228)</f>
        <v/>
      </c>
      <c r="D229" s="4">
        <f>$B$3*C229^(3/4)*(1-(C229/$B$4)^(1/4))</f>
        <v/>
      </c>
      <c r="E229" s="4">
        <f>C229+$B$6*D229</f>
        <v/>
      </c>
      <c r="F229" s="4">
        <f>$B$3*E229^(3/4)*(1-(E229/$B$4)^(1/4))</f>
        <v/>
      </c>
      <c r="G229" s="4">
        <f>( $B$8 + ($B$9-$B$8)*EXP(-$B$3*B229/(4*$B$8)) )^4</f>
        <v/>
      </c>
      <c r="H229" s="4">
        <f>ABS(C229-G229)</f>
        <v/>
      </c>
    </row>
    <row r="230">
      <c r="A230" s="4">
        <f>A229+1</f>
        <v/>
      </c>
      <c r="B230" s="4">
        <f>B229+$B$6</f>
        <v/>
      </c>
      <c r="C230" s="4">
        <f>C229+($B$6/2)*(D229+F229)</f>
        <v/>
      </c>
      <c r="D230" s="4">
        <f>$B$3*C230^(3/4)*(1-(C230/$B$4)^(1/4))</f>
        <v/>
      </c>
      <c r="E230" s="4">
        <f>C230+$B$6*D230</f>
        <v/>
      </c>
      <c r="F230" s="4">
        <f>$B$3*E230^(3/4)*(1-(E230/$B$4)^(1/4))</f>
        <v/>
      </c>
      <c r="G230" s="4">
        <f>( $B$8 + ($B$9-$B$8)*EXP(-$B$3*B230/(4*$B$8)) )^4</f>
        <v/>
      </c>
      <c r="H230" s="4">
        <f>ABS(C230-G230)</f>
        <v/>
      </c>
    </row>
    <row r="231">
      <c r="A231" s="4">
        <f>A230+1</f>
        <v/>
      </c>
      <c r="B231" s="4">
        <f>B230+$B$6</f>
        <v/>
      </c>
      <c r="C231" s="4">
        <f>C230+($B$6/2)*(D230+F230)</f>
        <v/>
      </c>
      <c r="D231" s="4">
        <f>$B$3*C231^(3/4)*(1-(C231/$B$4)^(1/4))</f>
        <v/>
      </c>
      <c r="E231" s="4">
        <f>C231+$B$6*D231</f>
        <v/>
      </c>
      <c r="F231" s="4">
        <f>$B$3*E231^(3/4)*(1-(E231/$B$4)^(1/4))</f>
        <v/>
      </c>
      <c r="G231" s="4">
        <f>( $B$8 + ($B$9-$B$8)*EXP(-$B$3*B231/(4*$B$8)) )^4</f>
        <v/>
      </c>
      <c r="H231" s="4">
        <f>ABS(C231-G231)</f>
        <v/>
      </c>
    </row>
    <row r="232">
      <c r="A232" s="4">
        <f>A231+1</f>
        <v/>
      </c>
      <c r="B232" s="4">
        <f>B231+$B$6</f>
        <v/>
      </c>
      <c r="C232" s="4">
        <f>C231+($B$6/2)*(D231+F231)</f>
        <v/>
      </c>
      <c r="D232" s="4">
        <f>$B$3*C232^(3/4)*(1-(C232/$B$4)^(1/4))</f>
        <v/>
      </c>
      <c r="E232" s="4">
        <f>C232+$B$6*D232</f>
        <v/>
      </c>
      <c r="F232" s="4">
        <f>$B$3*E232^(3/4)*(1-(E232/$B$4)^(1/4))</f>
        <v/>
      </c>
      <c r="G232" s="4">
        <f>( $B$8 + ($B$9-$B$8)*EXP(-$B$3*B232/(4*$B$8)) )^4</f>
        <v/>
      </c>
      <c r="H232" s="4">
        <f>ABS(C232-G232)</f>
        <v/>
      </c>
    </row>
    <row r="233">
      <c r="A233" s="4">
        <f>A232+1</f>
        <v/>
      </c>
      <c r="B233" s="4">
        <f>B232+$B$6</f>
        <v/>
      </c>
      <c r="C233" s="4">
        <f>C232+($B$6/2)*(D232+F232)</f>
        <v/>
      </c>
      <c r="D233" s="4">
        <f>$B$3*C233^(3/4)*(1-(C233/$B$4)^(1/4))</f>
        <v/>
      </c>
      <c r="E233" s="4">
        <f>C233+$B$6*D233</f>
        <v/>
      </c>
      <c r="F233" s="4">
        <f>$B$3*E233^(3/4)*(1-(E233/$B$4)^(1/4))</f>
        <v/>
      </c>
      <c r="G233" s="4">
        <f>( $B$8 + ($B$9-$B$8)*EXP(-$B$3*B233/(4*$B$8)) )^4</f>
        <v/>
      </c>
      <c r="H233" s="4">
        <f>ABS(C233-G233)</f>
        <v/>
      </c>
    </row>
    <row r="234">
      <c r="A234" s="4">
        <f>A233+1</f>
        <v/>
      </c>
      <c r="B234" s="4">
        <f>B233+$B$6</f>
        <v/>
      </c>
      <c r="C234" s="4">
        <f>C233+($B$6/2)*(D233+F233)</f>
        <v/>
      </c>
      <c r="D234" s="4">
        <f>$B$3*C234^(3/4)*(1-(C234/$B$4)^(1/4))</f>
        <v/>
      </c>
      <c r="E234" s="4">
        <f>C234+$B$6*D234</f>
        <v/>
      </c>
      <c r="F234" s="4">
        <f>$B$3*E234^(3/4)*(1-(E234/$B$4)^(1/4))</f>
        <v/>
      </c>
      <c r="G234" s="4">
        <f>( $B$8 + ($B$9-$B$8)*EXP(-$B$3*B234/(4*$B$8)) )^4</f>
        <v/>
      </c>
      <c r="H234" s="4">
        <f>ABS(C234-G234)</f>
        <v/>
      </c>
    </row>
    <row r="235">
      <c r="A235" s="4">
        <f>A234+1</f>
        <v/>
      </c>
      <c r="B235" s="4">
        <f>B234+$B$6</f>
        <v/>
      </c>
      <c r="C235" s="4">
        <f>C234+($B$6/2)*(D234+F234)</f>
        <v/>
      </c>
      <c r="D235" s="4">
        <f>$B$3*C235^(3/4)*(1-(C235/$B$4)^(1/4))</f>
        <v/>
      </c>
      <c r="E235" s="4">
        <f>C235+$B$6*D235</f>
        <v/>
      </c>
      <c r="F235" s="4">
        <f>$B$3*E235^(3/4)*(1-(E235/$B$4)^(1/4))</f>
        <v/>
      </c>
      <c r="G235" s="4">
        <f>( $B$8 + ($B$9-$B$8)*EXP(-$B$3*B235/(4*$B$8)) )^4</f>
        <v/>
      </c>
      <c r="H235" s="4">
        <f>ABS(C235-G235)</f>
        <v/>
      </c>
    </row>
    <row r="236">
      <c r="A236" s="4">
        <f>A235+1</f>
        <v/>
      </c>
      <c r="B236" s="4">
        <f>B235+$B$6</f>
        <v/>
      </c>
      <c r="C236" s="4">
        <f>C235+($B$6/2)*(D235+F235)</f>
        <v/>
      </c>
      <c r="D236" s="4">
        <f>$B$3*C236^(3/4)*(1-(C236/$B$4)^(1/4))</f>
        <v/>
      </c>
      <c r="E236" s="4">
        <f>C236+$B$6*D236</f>
        <v/>
      </c>
      <c r="F236" s="4">
        <f>$B$3*E236^(3/4)*(1-(E236/$B$4)^(1/4))</f>
        <v/>
      </c>
      <c r="G236" s="4">
        <f>( $B$8 + ($B$9-$B$8)*EXP(-$B$3*B236/(4*$B$8)) )^4</f>
        <v/>
      </c>
      <c r="H236" s="4">
        <f>ABS(C236-G236)</f>
        <v/>
      </c>
    </row>
    <row r="237">
      <c r="A237" s="4">
        <f>A236+1</f>
        <v/>
      </c>
      <c r="B237" s="4">
        <f>B236+$B$6</f>
        <v/>
      </c>
      <c r="C237" s="4">
        <f>C236+($B$6/2)*(D236+F236)</f>
        <v/>
      </c>
      <c r="D237" s="4">
        <f>$B$3*C237^(3/4)*(1-(C237/$B$4)^(1/4))</f>
        <v/>
      </c>
      <c r="E237" s="4">
        <f>C237+$B$6*D237</f>
        <v/>
      </c>
      <c r="F237" s="4">
        <f>$B$3*E237^(3/4)*(1-(E237/$B$4)^(1/4))</f>
        <v/>
      </c>
      <c r="G237" s="4">
        <f>( $B$8 + ($B$9-$B$8)*EXP(-$B$3*B237/(4*$B$8)) )^4</f>
        <v/>
      </c>
      <c r="H237" s="4">
        <f>ABS(C237-G237)</f>
        <v/>
      </c>
    </row>
    <row r="238">
      <c r="A238" s="4">
        <f>A237+1</f>
        <v/>
      </c>
      <c r="B238" s="4">
        <f>B237+$B$6</f>
        <v/>
      </c>
      <c r="C238" s="4">
        <f>C237+($B$6/2)*(D237+F237)</f>
        <v/>
      </c>
      <c r="D238" s="4">
        <f>$B$3*C238^(3/4)*(1-(C238/$B$4)^(1/4))</f>
        <v/>
      </c>
      <c r="E238" s="4">
        <f>C238+$B$6*D238</f>
        <v/>
      </c>
      <c r="F238" s="4">
        <f>$B$3*E238^(3/4)*(1-(E238/$B$4)^(1/4))</f>
        <v/>
      </c>
      <c r="G238" s="4">
        <f>( $B$8 + ($B$9-$B$8)*EXP(-$B$3*B238/(4*$B$8)) )^4</f>
        <v/>
      </c>
      <c r="H238" s="4">
        <f>ABS(C238-G238)</f>
        <v/>
      </c>
    </row>
    <row r="239">
      <c r="A239" s="4">
        <f>A238+1</f>
        <v/>
      </c>
      <c r="B239" s="4">
        <f>B238+$B$6</f>
        <v/>
      </c>
      <c r="C239" s="4">
        <f>C238+($B$6/2)*(D238+F238)</f>
        <v/>
      </c>
      <c r="D239" s="4">
        <f>$B$3*C239^(3/4)*(1-(C239/$B$4)^(1/4))</f>
        <v/>
      </c>
      <c r="E239" s="4">
        <f>C239+$B$6*D239</f>
        <v/>
      </c>
      <c r="F239" s="4">
        <f>$B$3*E239^(3/4)*(1-(E239/$B$4)^(1/4))</f>
        <v/>
      </c>
      <c r="G239" s="4">
        <f>( $B$8 + ($B$9-$B$8)*EXP(-$B$3*B239/(4*$B$8)) )^4</f>
        <v/>
      </c>
      <c r="H239" s="4">
        <f>ABS(C239-G239)</f>
        <v/>
      </c>
    </row>
    <row r="240">
      <c r="A240" s="4">
        <f>A239+1</f>
        <v/>
      </c>
      <c r="B240" s="4">
        <f>B239+$B$6</f>
        <v/>
      </c>
      <c r="C240" s="4">
        <f>C239+($B$6/2)*(D239+F239)</f>
        <v/>
      </c>
      <c r="D240" s="4">
        <f>$B$3*C240^(3/4)*(1-(C240/$B$4)^(1/4))</f>
        <v/>
      </c>
      <c r="E240" s="4">
        <f>C240+$B$6*D240</f>
        <v/>
      </c>
      <c r="F240" s="4">
        <f>$B$3*E240^(3/4)*(1-(E240/$B$4)^(1/4))</f>
        <v/>
      </c>
      <c r="G240" s="4">
        <f>( $B$8 + ($B$9-$B$8)*EXP(-$B$3*B240/(4*$B$8)) )^4</f>
        <v/>
      </c>
      <c r="H240" s="4">
        <f>ABS(C240-G240)</f>
        <v/>
      </c>
    </row>
    <row r="241">
      <c r="A241" s="4">
        <f>A240+1</f>
        <v/>
      </c>
      <c r="B241" s="4">
        <f>B240+$B$6</f>
        <v/>
      </c>
      <c r="C241" s="4">
        <f>C240+($B$6/2)*(D240+F240)</f>
        <v/>
      </c>
      <c r="D241" s="4">
        <f>$B$3*C241^(3/4)*(1-(C241/$B$4)^(1/4))</f>
        <v/>
      </c>
      <c r="E241" s="4">
        <f>C241+$B$6*D241</f>
        <v/>
      </c>
      <c r="F241" s="4">
        <f>$B$3*E241^(3/4)*(1-(E241/$B$4)^(1/4))</f>
        <v/>
      </c>
      <c r="G241" s="4">
        <f>( $B$8 + ($B$9-$B$8)*EXP(-$B$3*B241/(4*$B$8)) )^4</f>
        <v/>
      </c>
      <c r="H241" s="4">
        <f>ABS(C241-G241)</f>
        <v/>
      </c>
    </row>
    <row r="242">
      <c r="A242" s="4">
        <f>A241+1</f>
        <v/>
      </c>
      <c r="B242" s="4">
        <f>B241+$B$6</f>
        <v/>
      </c>
      <c r="C242" s="4">
        <f>C241+($B$6/2)*(D241+F241)</f>
        <v/>
      </c>
      <c r="D242" s="4">
        <f>$B$3*C242^(3/4)*(1-(C242/$B$4)^(1/4))</f>
        <v/>
      </c>
      <c r="E242" s="4">
        <f>C242+$B$6*D242</f>
        <v/>
      </c>
      <c r="F242" s="4">
        <f>$B$3*E242^(3/4)*(1-(E242/$B$4)^(1/4))</f>
        <v/>
      </c>
      <c r="G242" s="4">
        <f>( $B$8 + ($B$9-$B$8)*EXP(-$B$3*B242/(4*$B$8)) )^4</f>
        <v/>
      </c>
      <c r="H242" s="4">
        <f>ABS(C242-G242)</f>
        <v/>
      </c>
    </row>
    <row r="243">
      <c r="A243" s="4">
        <f>A242+1</f>
        <v/>
      </c>
      <c r="B243" s="4">
        <f>B242+$B$6</f>
        <v/>
      </c>
      <c r="C243" s="4">
        <f>C242+($B$6/2)*(D242+F242)</f>
        <v/>
      </c>
      <c r="D243" s="4">
        <f>$B$3*C243^(3/4)*(1-(C243/$B$4)^(1/4))</f>
        <v/>
      </c>
      <c r="E243" s="4">
        <f>C243+$B$6*D243</f>
        <v/>
      </c>
      <c r="F243" s="4">
        <f>$B$3*E243^(3/4)*(1-(E243/$B$4)^(1/4))</f>
        <v/>
      </c>
      <c r="G243" s="4">
        <f>( $B$8 + ($B$9-$B$8)*EXP(-$B$3*B243/(4*$B$8)) )^4</f>
        <v/>
      </c>
      <c r="H243" s="4">
        <f>ABS(C243-G243)</f>
        <v/>
      </c>
    </row>
    <row r="244">
      <c r="A244" s="4">
        <f>A243+1</f>
        <v/>
      </c>
      <c r="B244" s="4">
        <f>B243+$B$6</f>
        <v/>
      </c>
      <c r="C244" s="4">
        <f>C243+($B$6/2)*(D243+F243)</f>
        <v/>
      </c>
      <c r="D244" s="4">
        <f>$B$3*C244^(3/4)*(1-(C244/$B$4)^(1/4))</f>
        <v/>
      </c>
      <c r="E244" s="4">
        <f>C244+$B$6*D244</f>
        <v/>
      </c>
      <c r="F244" s="4">
        <f>$B$3*E244^(3/4)*(1-(E244/$B$4)^(1/4))</f>
        <v/>
      </c>
      <c r="G244" s="4">
        <f>( $B$8 + ($B$9-$B$8)*EXP(-$B$3*B244/(4*$B$8)) )^4</f>
        <v/>
      </c>
      <c r="H244" s="4">
        <f>ABS(C244-G244)</f>
        <v/>
      </c>
    </row>
    <row r="245">
      <c r="A245" s="4">
        <f>A244+1</f>
        <v/>
      </c>
      <c r="B245" s="4">
        <f>B244+$B$6</f>
        <v/>
      </c>
      <c r="C245" s="4">
        <f>C244+($B$6/2)*(D244+F244)</f>
        <v/>
      </c>
      <c r="D245" s="4">
        <f>$B$3*C245^(3/4)*(1-(C245/$B$4)^(1/4))</f>
        <v/>
      </c>
      <c r="E245" s="4">
        <f>C245+$B$6*D245</f>
        <v/>
      </c>
      <c r="F245" s="4">
        <f>$B$3*E245^(3/4)*(1-(E245/$B$4)^(1/4))</f>
        <v/>
      </c>
      <c r="G245" s="4">
        <f>( $B$8 + ($B$9-$B$8)*EXP(-$B$3*B245/(4*$B$8)) )^4</f>
        <v/>
      </c>
      <c r="H245" s="4">
        <f>ABS(C245-G245)</f>
        <v/>
      </c>
    </row>
    <row r="246">
      <c r="A246" s="4">
        <f>A245+1</f>
        <v/>
      </c>
      <c r="B246" s="4">
        <f>B245+$B$6</f>
        <v/>
      </c>
      <c r="C246" s="4">
        <f>C245+($B$6/2)*(D245+F245)</f>
        <v/>
      </c>
      <c r="D246" s="4">
        <f>$B$3*C246^(3/4)*(1-(C246/$B$4)^(1/4))</f>
        <v/>
      </c>
      <c r="E246" s="4">
        <f>C246+$B$6*D246</f>
        <v/>
      </c>
      <c r="F246" s="4">
        <f>$B$3*E246^(3/4)*(1-(E246/$B$4)^(1/4))</f>
        <v/>
      </c>
      <c r="G246" s="4">
        <f>( $B$8 + ($B$9-$B$8)*EXP(-$B$3*B246/(4*$B$8)) )^4</f>
        <v/>
      </c>
      <c r="H246" s="4">
        <f>ABS(C246-G246)</f>
        <v/>
      </c>
    </row>
    <row r="247">
      <c r="A247" s="4">
        <f>A246+1</f>
        <v/>
      </c>
      <c r="B247" s="4">
        <f>B246+$B$6</f>
        <v/>
      </c>
      <c r="C247" s="4">
        <f>C246+($B$6/2)*(D246+F246)</f>
        <v/>
      </c>
      <c r="D247" s="4">
        <f>$B$3*C247^(3/4)*(1-(C247/$B$4)^(1/4))</f>
        <v/>
      </c>
      <c r="E247" s="4">
        <f>C247+$B$6*D247</f>
        <v/>
      </c>
      <c r="F247" s="4">
        <f>$B$3*E247^(3/4)*(1-(E247/$B$4)^(1/4))</f>
        <v/>
      </c>
      <c r="G247" s="4">
        <f>( $B$8 + ($B$9-$B$8)*EXP(-$B$3*B247/(4*$B$8)) )^4</f>
        <v/>
      </c>
      <c r="H247" s="4">
        <f>ABS(C247-G247)</f>
        <v/>
      </c>
    </row>
    <row r="248">
      <c r="A248" s="4">
        <f>A247+1</f>
        <v/>
      </c>
      <c r="B248" s="4">
        <f>B247+$B$6</f>
        <v/>
      </c>
      <c r="C248" s="4">
        <f>C247+($B$6/2)*(D247+F247)</f>
        <v/>
      </c>
      <c r="D248" s="4">
        <f>$B$3*C248^(3/4)*(1-(C248/$B$4)^(1/4))</f>
        <v/>
      </c>
      <c r="E248" s="4">
        <f>C248+$B$6*D248</f>
        <v/>
      </c>
      <c r="F248" s="4">
        <f>$B$3*E248^(3/4)*(1-(E248/$B$4)^(1/4))</f>
        <v/>
      </c>
      <c r="G248" s="4">
        <f>( $B$8 + ($B$9-$B$8)*EXP(-$B$3*B248/(4*$B$8)) )^4</f>
        <v/>
      </c>
      <c r="H248" s="4">
        <f>ABS(C248-G248)</f>
        <v/>
      </c>
    </row>
    <row r="249">
      <c r="A249" s="4">
        <f>A248+1</f>
        <v/>
      </c>
      <c r="B249" s="4">
        <f>B248+$B$6</f>
        <v/>
      </c>
      <c r="C249" s="4">
        <f>C248+($B$6/2)*(D248+F248)</f>
        <v/>
      </c>
      <c r="D249" s="4">
        <f>$B$3*C249^(3/4)*(1-(C249/$B$4)^(1/4))</f>
        <v/>
      </c>
      <c r="E249" s="4">
        <f>C249+$B$6*D249</f>
        <v/>
      </c>
      <c r="F249" s="4">
        <f>$B$3*E249^(3/4)*(1-(E249/$B$4)^(1/4))</f>
        <v/>
      </c>
      <c r="G249" s="4">
        <f>( $B$8 + ($B$9-$B$8)*EXP(-$B$3*B249/(4*$B$8)) )^4</f>
        <v/>
      </c>
      <c r="H249" s="4">
        <f>ABS(C249-G249)</f>
        <v/>
      </c>
    </row>
    <row r="250">
      <c r="A250" s="4">
        <f>A249+1</f>
        <v/>
      </c>
      <c r="B250" s="4">
        <f>B249+$B$6</f>
        <v/>
      </c>
      <c r="C250" s="4">
        <f>C249+($B$6/2)*(D249+F249)</f>
        <v/>
      </c>
      <c r="D250" s="4">
        <f>$B$3*C250^(3/4)*(1-(C250/$B$4)^(1/4))</f>
        <v/>
      </c>
      <c r="E250" s="4">
        <f>C250+$B$6*D250</f>
        <v/>
      </c>
      <c r="F250" s="4">
        <f>$B$3*E250^(3/4)*(1-(E250/$B$4)^(1/4))</f>
        <v/>
      </c>
      <c r="G250" s="4">
        <f>( $B$8 + ($B$9-$B$8)*EXP(-$B$3*B250/(4*$B$8)) )^4</f>
        <v/>
      </c>
      <c r="H250" s="4">
        <f>ABS(C250-G250)</f>
        <v/>
      </c>
    </row>
    <row r="251">
      <c r="A251" s="4">
        <f>A250+1</f>
        <v/>
      </c>
      <c r="B251" s="4">
        <f>B250+$B$6</f>
        <v/>
      </c>
      <c r="C251" s="4">
        <f>C250+($B$6/2)*(D250+F250)</f>
        <v/>
      </c>
      <c r="D251" s="4">
        <f>$B$3*C251^(3/4)*(1-(C251/$B$4)^(1/4))</f>
        <v/>
      </c>
      <c r="E251" s="4">
        <f>C251+$B$6*D251</f>
        <v/>
      </c>
      <c r="F251" s="4">
        <f>$B$3*E251^(3/4)*(1-(E251/$B$4)^(1/4))</f>
        <v/>
      </c>
      <c r="G251" s="4">
        <f>( $B$8 + ($B$9-$B$8)*EXP(-$B$3*B251/(4*$B$8)) )^4</f>
        <v/>
      </c>
      <c r="H251" s="4">
        <f>ABS(C251-G251)</f>
        <v/>
      </c>
    </row>
    <row r="252">
      <c r="A252" s="4">
        <f>A251+1</f>
        <v/>
      </c>
      <c r="B252" s="4">
        <f>B251+$B$6</f>
        <v/>
      </c>
      <c r="C252" s="4">
        <f>C251+($B$6/2)*(D251+F251)</f>
        <v/>
      </c>
      <c r="D252" s="4">
        <f>$B$3*C252^(3/4)*(1-(C252/$B$4)^(1/4))</f>
        <v/>
      </c>
      <c r="E252" s="4">
        <f>C252+$B$6*D252</f>
        <v/>
      </c>
      <c r="F252" s="4">
        <f>$B$3*E252^(3/4)*(1-(E252/$B$4)^(1/4))</f>
        <v/>
      </c>
      <c r="G252" s="4">
        <f>( $B$8 + ($B$9-$B$8)*EXP(-$B$3*B252/(4*$B$8)) )^4</f>
        <v/>
      </c>
      <c r="H252" s="4">
        <f>ABS(C252-G252)</f>
        <v/>
      </c>
    </row>
    <row r="253">
      <c r="A253" s="4">
        <f>A252+1</f>
        <v/>
      </c>
      <c r="B253" s="4">
        <f>B252+$B$6</f>
        <v/>
      </c>
      <c r="C253" s="4">
        <f>C252+($B$6/2)*(D252+F252)</f>
        <v/>
      </c>
      <c r="D253" s="4">
        <f>$B$3*C253^(3/4)*(1-(C253/$B$4)^(1/4))</f>
        <v/>
      </c>
      <c r="E253" s="4">
        <f>C253+$B$6*D253</f>
        <v/>
      </c>
      <c r="F253" s="4">
        <f>$B$3*E253^(3/4)*(1-(E253/$B$4)^(1/4))</f>
        <v/>
      </c>
      <c r="G253" s="4">
        <f>( $B$8 + ($B$9-$B$8)*EXP(-$B$3*B253/(4*$B$8)) )^4</f>
        <v/>
      </c>
      <c r="H253" s="4">
        <f>ABS(C253-G253)</f>
        <v/>
      </c>
    </row>
    <row r="254">
      <c r="A254" s="4">
        <f>A253+1</f>
        <v/>
      </c>
      <c r="B254" s="4">
        <f>B253+$B$6</f>
        <v/>
      </c>
      <c r="C254" s="4">
        <f>C253+($B$6/2)*(D253+F253)</f>
        <v/>
      </c>
      <c r="D254" s="4">
        <f>$B$3*C254^(3/4)*(1-(C254/$B$4)^(1/4))</f>
        <v/>
      </c>
      <c r="E254" s="4">
        <f>C254+$B$6*D254</f>
        <v/>
      </c>
      <c r="F254" s="4">
        <f>$B$3*E254^(3/4)*(1-(E254/$B$4)^(1/4))</f>
        <v/>
      </c>
      <c r="G254" s="4">
        <f>( $B$8 + ($B$9-$B$8)*EXP(-$B$3*B254/(4*$B$8)) )^4</f>
        <v/>
      </c>
      <c r="H254" s="4">
        <f>ABS(C254-G254)</f>
        <v/>
      </c>
    </row>
    <row r="255">
      <c r="A255" s="4">
        <f>A254+1</f>
        <v/>
      </c>
      <c r="B255" s="4">
        <f>B254+$B$6</f>
        <v/>
      </c>
      <c r="C255" s="4">
        <f>C254+($B$6/2)*(D254+F254)</f>
        <v/>
      </c>
      <c r="D255" s="4">
        <f>$B$3*C255^(3/4)*(1-(C255/$B$4)^(1/4))</f>
        <v/>
      </c>
      <c r="E255" s="4">
        <f>C255+$B$6*D255</f>
        <v/>
      </c>
      <c r="F255" s="4">
        <f>$B$3*E255^(3/4)*(1-(E255/$B$4)^(1/4))</f>
        <v/>
      </c>
      <c r="G255" s="4">
        <f>( $B$8 + ($B$9-$B$8)*EXP(-$B$3*B255/(4*$B$8)) )^4</f>
        <v/>
      </c>
      <c r="H255" s="4">
        <f>ABS(C255-G255)</f>
        <v/>
      </c>
    </row>
    <row r="256">
      <c r="A256" s="4">
        <f>A255+1</f>
        <v/>
      </c>
      <c r="B256" s="4">
        <f>B255+$B$6</f>
        <v/>
      </c>
      <c r="C256" s="4">
        <f>C255+($B$6/2)*(D255+F255)</f>
        <v/>
      </c>
      <c r="D256" s="4">
        <f>$B$3*C256^(3/4)*(1-(C256/$B$4)^(1/4))</f>
        <v/>
      </c>
      <c r="E256" s="4">
        <f>C256+$B$6*D256</f>
        <v/>
      </c>
      <c r="F256" s="4">
        <f>$B$3*E256^(3/4)*(1-(E256/$B$4)^(1/4))</f>
        <v/>
      </c>
      <c r="G256" s="4">
        <f>( $B$8 + ($B$9-$B$8)*EXP(-$B$3*B256/(4*$B$8)) )^4</f>
        <v/>
      </c>
      <c r="H256" s="4">
        <f>ABS(C256-G256)</f>
        <v/>
      </c>
    </row>
    <row r="257">
      <c r="A257" s="4">
        <f>A256+1</f>
        <v/>
      </c>
      <c r="B257" s="4">
        <f>B256+$B$6</f>
        <v/>
      </c>
      <c r="C257" s="4">
        <f>C256+($B$6/2)*(D256+F256)</f>
        <v/>
      </c>
      <c r="D257" s="4">
        <f>$B$3*C257^(3/4)*(1-(C257/$B$4)^(1/4))</f>
        <v/>
      </c>
      <c r="E257" s="4">
        <f>C257+$B$6*D257</f>
        <v/>
      </c>
      <c r="F257" s="4">
        <f>$B$3*E257^(3/4)*(1-(E257/$B$4)^(1/4))</f>
        <v/>
      </c>
      <c r="G257" s="4">
        <f>( $B$8 + ($B$9-$B$8)*EXP(-$B$3*B257/(4*$B$8)) )^4</f>
        <v/>
      </c>
      <c r="H257" s="4">
        <f>ABS(C257-G257)</f>
        <v/>
      </c>
    </row>
    <row r="258">
      <c r="A258" s="4">
        <f>A257+1</f>
        <v/>
      </c>
      <c r="B258" s="4">
        <f>B257+$B$6</f>
        <v/>
      </c>
      <c r="C258" s="4">
        <f>C257+($B$6/2)*(D257+F257)</f>
        <v/>
      </c>
      <c r="D258" s="4">
        <f>$B$3*C258^(3/4)*(1-(C258/$B$4)^(1/4))</f>
        <v/>
      </c>
      <c r="E258" s="4">
        <f>C258+$B$6*D258</f>
        <v/>
      </c>
      <c r="F258" s="4">
        <f>$B$3*E258^(3/4)*(1-(E258/$B$4)^(1/4))</f>
        <v/>
      </c>
      <c r="G258" s="4">
        <f>( $B$8 + ($B$9-$B$8)*EXP(-$B$3*B258/(4*$B$8)) )^4</f>
        <v/>
      </c>
      <c r="H258" s="4">
        <f>ABS(C258-G258)</f>
        <v/>
      </c>
    </row>
    <row r="259">
      <c r="A259" s="4">
        <f>A258+1</f>
        <v/>
      </c>
      <c r="B259" s="4">
        <f>B258+$B$6</f>
        <v/>
      </c>
      <c r="C259" s="4">
        <f>C258+($B$6/2)*(D258+F258)</f>
        <v/>
      </c>
      <c r="D259" s="4">
        <f>$B$3*C259^(3/4)*(1-(C259/$B$4)^(1/4))</f>
        <v/>
      </c>
      <c r="E259" s="4">
        <f>C259+$B$6*D259</f>
        <v/>
      </c>
      <c r="F259" s="4">
        <f>$B$3*E259^(3/4)*(1-(E259/$B$4)^(1/4))</f>
        <v/>
      </c>
      <c r="G259" s="4">
        <f>( $B$8 + ($B$9-$B$8)*EXP(-$B$3*B259/(4*$B$8)) )^4</f>
        <v/>
      </c>
      <c r="H259" s="4">
        <f>ABS(C259-G259)</f>
        <v/>
      </c>
    </row>
    <row r="260">
      <c r="A260" s="4">
        <f>A259+1</f>
        <v/>
      </c>
      <c r="B260" s="4">
        <f>B259+$B$6</f>
        <v/>
      </c>
      <c r="C260" s="4">
        <f>C259+($B$6/2)*(D259+F259)</f>
        <v/>
      </c>
      <c r="D260" s="4">
        <f>$B$3*C260^(3/4)*(1-(C260/$B$4)^(1/4))</f>
        <v/>
      </c>
      <c r="E260" s="4">
        <f>C260+$B$6*D260</f>
        <v/>
      </c>
      <c r="F260" s="4">
        <f>$B$3*E260^(3/4)*(1-(E260/$B$4)^(1/4))</f>
        <v/>
      </c>
      <c r="G260" s="4">
        <f>( $B$8 + ($B$9-$B$8)*EXP(-$B$3*B260/(4*$B$8)) )^4</f>
        <v/>
      </c>
      <c r="H260" s="4">
        <f>ABS(C260-G260)</f>
        <v/>
      </c>
    </row>
    <row r="261">
      <c r="A261" s="4">
        <f>A260+1</f>
        <v/>
      </c>
      <c r="B261" s="4">
        <f>B260+$B$6</f>
        <v/>
      </c>
      <c r="C261" s="4">
        <f>C260+($B$6/2)*(D260+F260)</f>
        <v/>
      </c>
      <c r="D261" s="4">
        <f>$B$3*C261^(3/4)*(1-(C261/$B$4)^(1/4))</f>
        <v/>
      </c>
      <c r="E261" s="4">
        <f>C261+$B$6*D261</f>
        <v/>
      </c>
      <c r="F261" s="4">
        <f>$B$3*E261^(3/4)*(1-(E261/$B$4)^(1/4))</f>
        <v/>
      </c>
      <c r="G261" s="4">
        <f>( $B$8 + ($B$9-$B$8)*EXP(-$B$3*B261/(4*$B$8)) )^4</f>
        <v/>
      </c>
      <c r="H261" s="4">
        <f>ABS(C261-G261)</f>
        <v/>
      </c>
    </row>
    <row r="262">
      <c r="A262" s="4">
        <f>A261+1</f>
        <v/>
      </c>
      <c r="B262" s="4">
        <f>B261+$B$6</f>
        <v/>
      </c>
      <c r="C262" s="4">
        <f>C261+($B$6/2)*(D261+F261)</f>
        <v/>
      </c>
      <c r="D262" s="4">
        <f>$B$3*C262^(3/4)*(1-(C262/$B$4)^(1/4))</f>
        <v/>
      </c>
      <c r="E262" s="4">
        <f>C262+$B$6*D262</f>
        <v/>
      </c>
      <c r="F262" s="4">
        <f>$B$3*E262^(3/4)*(1-(E262/$B$4)^(1/4))</f>
        <v/>
      </c>
      <c r="G262" s="4">
        <f>( $B$8 + ($B$9-$B$8)*EXP(-$B$3*B262/(4*$B$8)) )^4</f>
        <v/>
      </c>
      <c r="H262" s="4">
        <f>ABS(C262-G262)</f>
        <v/>
      </c>
    </row>
    <row r="263">
      <c r="A263" s="4">
        <f>A262+1</f>
        <v/>
      </c>
      <c r="B263" s="4">
        <f>B262+$B$6</f>
        <v/>
      </c>
      <c r="C263" s="4">
        <f>C262+($B$6/2)*(D262+F262)</f>
        <v/>
      </c>
      <c r="D263" s="4">
        <f>$B$3*C263^(3/4)*(1-(C263/$B$4)^(1/4))</f>
        <v/>
      </c>
      <c r="E263" s="4">
        <f>C263+$B$6*D263</f>
        <v/>
      </c>
      <c r="F263" s="4">
        <f>$B$3*E263^(3/4)*(1-(E263/$B$4)^(1/4))</f>
        <v/>
      </c>
      <c r="G263" s="4">
        <f>( $B$8 + ($B$9-$B$8)*EXP(-$B$3*B263/(4*$B$8)) )^4</f>
        <v/>
      </c>
      <c r="H263" s="4">
        <f>ABS(C263-G263)</f>
        <v/>
      </c>
    </row>
    <row r="264">
      <c r="A264" s="4">
        <f>A263+1</f>
        <v/>
      </c>
      <c r="B264" s="4">
        <f>B263+$B$6</f>
        <v/>
      </c>
      <c r="C264" s="4">
        <f>C263+($B$6/2)*(D263+F263)</f>
        <v/>
      </c>
      <c r="D264" s="4">
        <f>$B$3*C264^(3/4)*(1-(C264/$B$4)^(1/4))</f>
        <v/>
      </c>
      <c r="E264" s="4">
        <f>C264+$B$6*D264</f>
        <v/>
      </c>
      <c r="F264" s="4">
        <f>$B$3*E264^(3/4)*(1-(E264/$B$4)^(1/4))</f>
        <v/>
      </c>
      <c r="G264" s="4">
        <f>( $B$8 + ($B$9-$B$8)*EXP(-$B$3*B264/(4*$B$8)) )^4</f>
        <v/>
      </c>
      <c r="H264" s="4">
        <f>ABS(C264-G264)</f>
        <v/>
      </c>
    </row>
    <row r="265">
      <c r="A265" s="4">
        <f>A264+1</f>
        <v/>
      </c>
      <c r="B265" s="4">
        <f>B264+$B$6</f>
        <v/>
      </c>
      <c r="C265" s="4">
        <f>C264+($B$6/2)*(D264+F264)</f>
        <v/>
      </c>
      <c r="D265" s="4">
        <f>$B$3*C265^(3/4)*(1-(C265/$B$4)^(1/4))</f>
        <v/>
      </c>
      <c r="E265" s="4">
        <f>C265+$B$6*D265</f>
        <v/>
      </c>
      <c r="F265" s="4">
        <f>$B$3*E265^(3/4)*(1-(E265/$B$4)^(1/4))</f>
        <v/>
      </c>
      <c r="G265" s="4">
        <f>( $B$8 + ($B$9-$B$8)*EXP(-$B$3*B265/(4*$B$8)) )^4</f>
        <v/>
      </c>
      <c r="H265" s="4">
        <f>ABS(C265-G265)</f>
        <v/>
      </c>
    </row>
    <row r="266">
      <c r="A266" s="4">
        <f>A265+1</f>
        <v/>
      </c>
      <c r="B266" s="4">
        <f>B265+$B$6</f>
        <v/>
      </c>
      <c r="C266" s="4">
        <f>C265+($B$6/2)*(D265+F265)</f>
        <v/>
      </c>
      <c r="D266" s="4">
        <f>$B$3*C266^(3/4)*(1-(C266/$B$4)^(1/4))</f>
        <v/>
      </c>
      <c r="E266" s="4">
        <f>C266+$B$6*D266</f>
        <v/>
      </c>
      <c r="F266" s="4">
        <f>$B$3*E266^(3/4)*(1-(E266/$B$4)^(1/4))</f>
        <v/>
      </c>
      <c r="G266" s="4">
        <f>( $B$8 + ($B$9-$B$8)*EXP(-$B$3*B266/(4*$B$8)) )^4</f>
        <v/>
      </c>
      <c r="H266" s="4">
        <f>ABS(C266-G266)</f>
        <v/>
      </c>
    </row>
    <row r="267">
      <c r="A267" s="4">
        <f>A266+1</f>
        <v/>
      </c>
      <c r="B267" s="4">
        <f>B266+$B$6</f>
        <v/>
      </c>
      <c r="C267" s="4">
        <f>C266+($B$6/2)*(D266+F266)</f>
        <v/>
      </c>
      <c r="D267" s="4">
        <f>$B$3*C267^(3/4)*(1-(C267/$B$4)^(1/4))</f>
        <v/>
      </c>
      <c r="E267" s="4">
        <f>C267+$B$6*D267</f>
        <v/>
      </c>
      <c r="F267" s="4">
        <f>$B$3*E267^(3/4)*(1-(E267/$B$4)^(1/4))</f>
        <v/>
      </c>
      <c r="G267" s="4">
        <f>( $B$8 + ($B$9-$B$8)*EXP(-$B$3*B267/(4*$B$8)) )^4</f>
        <v/>
      </c>
      <c r="H267" s="4">
        <f>ABS(C267-G267)</f>
        <v/>
      </c>
    </row>
    <row r="268">
      <c r="A268" s="4">
        <f>A267+1</f>
        <v/>
      </c>
      <c r="B268" s="4">
        <f>B267+$B$6</f>
        <v/>
      </c>
      <c r="C268" s="4">
        <f>C267+($B$6/2)*(D267+F267)</f>
        <v/>
      </c>
      <c r="D268" s="4">
        <f>$B$3*C268^(3/4)*(1-(C268/$B$4)^(1/4))</f>
        <v/>
      </c>
      <c r="E268" s="4">
        <f>C268+$B$6*D268</f>
        <v/>
      </c>
      <c r="F268" s="4">
        <f>$B$3*E268^(3/4)*(1-(E268/$B$4)^(1/4))</f>
        <v/>
      </c>
      <c r="G268" s="4">
        <f>( $B$8 + ($B$9-$B$8)*EXP(-$B$3*B268/(4*$B$8)) )^4</f>
        <v/>
      </c>
      <c r="H268" s="4">
        <f>ABS(C268-G268)</f>
        <v/>
      </c>
    </row>
    <row r="269">
      <c r="A269" s="4">
        <f>A268+1</f>
        <v/>
      </c>
      <c r="B269" s="4">
        <f>B268+$B$6</f>
        <v/>
      </c>
      <c r="C269" s="4">
        <f>C268+($B$6/2)*(D268+F268)</f>
        <v/>
      </c>
      <c r="D269" s="4">
        <f>$B$3*C269^(3/4)*(1-(C269/$B$4)^(1/4))</f>
        <v/>
      </c>
      <c r="E269" s="4">
        <f>C269+$B$6*D269</f>
        <v/>
      </c>
      <c r="F269" s="4">
        <f>$B$3*E269^(3/4)*(1-(E269/$B$4)^(1/4))</f>
        <v/>
      </c>
      <c r="G269" s="4">
        <f>( $B$8 + ($B$9-$B$8)*EXP(-$B$3*B269/(4*$B$8)) )^4</f>
        <v/>
      </c>
      <c r="H269" s="4">
        <f>ABS(C269-G269)</f>
        <v/>
      </c>
    </row>
    <row r="270">
      <c r="A270" s="4">
        <f>A269+1</f>
        <v/>
      </c>
      <c r="B270" s="4">
        <f>B269+$B$6</f>
        <v/>
      </c>
      <c r="C270" s="4">
        <f>C269+($B$6/2)*(D269+F269)</f>
        <v/>
      </c>
      <c r="D270" s="4">
        <f>$B$3*C270^(3/4)*(1-(C270/$B$4)^(1/4))</f>
        <v/>
      </c>
      <c r="E270" s="4">
        <f>C270+$B$6*D270</f>
        <v/>
      </c>
      <c r="F270" s="4">
        <f>$B$3*E270^(3/4)*(1-(E270/$B$4)^(1/4))</f>
        <v/>
      </c>
      <c r="G270" s="4">
        <f>( $B$8 + ($B$9-$B$8)*EXP(-$B$3*B270/(4*$B$8)) )^4</f>
        <v/>
      </c>
      <c r="H270" s="4">
        <f>ABS(C270-G270)</f>
        <v/>
      </c>
    </row>
    <row r="271">
      <c r="A271" s="4">
        <f>A270+1</f>
        <v/>
      </c>
      <c r="B271" s="4">
        <f>B270+$B$6</f>
        <v/>
      </c>
      <c r="C271" s="4">
        <f>C270+($B$6/2)*(D270+F270)</f>
        <v/>
      </c>
      <c r="D271" s="4">
        <f>$B$3*C271^(3/4)*(1-(C271/$B$4)^(1/4))</f>
        <v/>
      </c>
      <c r="E271" s="4">
        <f>C271+$B$6*D271</f>
        <v/>
      </c>
      <c r="F271" s="4">
        <f>$B$3*E271^(3/4)*(1-(E271/$B$4)^(1/4))</f>
        <v/>
      </c>
      <c r="G271" s="4">
        <f>( $B$8 + ($B$9-$B$8)*EXP(-$B$3*B271/(4*$B$8)) )^4</f>
        <v/>
      </c>
      <c r="H271" s="4">
        <f>ABS(C271-G271)</f>
        <v/>
      </c>
    </row>
    <row r="272">
      <c r="A272" s="4">
        <f>A271+1</f>
        <v/>
      </c>
      <c r="B272" s="4">
        <f>B271+$B$6</f>
        <v/>
      </c>
      <c r="C272" s="4">
        <f>C271+($B$6/2)*(D271+F271)</f>
        <v/>
      </c>
      <c r="D272" s="4">
        <f>$B$3*C272^(3/4)*(1-(C272/$B$4)^(1/4))</f>
        <v/>
      </c>
      <c r="E272" s="4">
        <f>C272+$B$6*D272</f>
        <v/>
      </c>
      <c r="F272" s="4">
        <f>$B$3*E272^(3/4)*(1-(E272/$B$4)^(1/4))</f>
        <v/>
      </c>
      <c r="G272" s="4">
        <f>( $B$8 + ($B$9-$B$8)*EXP(-$B$3*B272/(4*$B$8)) )^4</f>
        <v/>
      </c>
      <c r="H272" s="4">
        <f>ABS(C272-G272)</f>
        <v/>
      </c>
    </row>
    <row r="273">
      <c r="A273" s="4">
        <f>A272+1</f>
        <v/>
      </c>
      <c r="B273" s="4">
        <f>B272+$B$6</f>
        <v/>
      </c>
      <c r="C273" s="4">
        <f>C272+($B$6/2)*(D272+F272)</f>
        <v/>
      </c>
      <c r="D273" s="4">
        <f>$B$3*C273^(3/4)*(1-(C273/$B$4)^(1/4))</f>
        <v/>
      </c>
      <c r="E273" s="4">
        <f>C273+$B$6*D273</f>
        <v/>
      </c>
      <c r="F273" s="4">
        <f>$B$3*E273^(3/4)*(1-(E273/$B$4)^(1/4))</f>
        <v/>
      </c>
      <c r="G273" s="4">
        <f>( $B$8 + ($B$9-$B$8)*EXP(-$B$3*B273/(4*$B$8)) )^4</f>
        <v/>
      </c>
      <c r="H273" s="4">
        <f>ABS(C273-G273)</f>
        <v/>
      </c>
    </row>
    <row r="274">
      <c r="A274" s="4">
        <f>A273+1</f>
        <v/>
      </c>
      <c r="B274" s="4">
        <f>B273+$B$6</f>
        <v/>
      </c>
      <c r="C274" s="4">
        <f>C273+($B$6/2)*(D273+F273)</f>
        <v/>
      </c>
      <c r="D274" s="4">
        <f>$B$3*C274^(3/4)*(1-(C274/$B$4)^(1/4))</f>
        <v/>
      </c>
      <c r="E274" s="4">
        <f>C274+$B$6*D274</f>
        <v/>
      </c>
      <c r="F274" s="4">
        <f>$B$3*E274^(3/4)*(1-(E274/$B$4)^(1/4))</f>
        <v/>
      </c>
      <c r="G274" s="4">
        <f>( $B$8 + ($B$9-$B$8)*EXP(-$B$3*B274/(4*$B$8)) )^4</f>
        <v/>
      </c>
      <c r="H274" s="4">
        <f>ABS(C274-G274)</f>
        <v/>
      </c>
    </row>
    <row r="275">
      <c r="A275" s="4">
        <f>A274+1</f>
        <v/>
      </c>
      <c r="B275" s="4">
        <f>B274+$B$6</f>
        <v/>
      </c>
      <c r="C275" s="4">
        <f>C274+($B$6/2)*(D274+F274)</f>
        <v/>
      </c>
      <c r="D275" s="4">
        <f>$B$3*C275^(3/4)*(1-(C275/$B$4)^(1/4))</f>
        <v/>
      </c>
      <c r="E275" s="4">
        <f>C275+$B$6*D275</f>
        <v/>
      </c>
      <c r="F275" s="4">
        <f>$B$3*E275^(3/4)*(1-(E275/$B$4)^(1/4))</f>
        <v/>
      </c>
      <c r="G275" s="4">
        <f>( $B$8 + ($B$9-$B$8)*EXP(-$B$3*B275/(4*$B$8)) )^4</f>
        <v/>
      </c>
      <c r="H275" s="4">
        <f>ABS(C275-G275)</f>
        <v/>
      </c>
    </row>
    <row r="276">
      <c r="A276" s="4">
        <f>A275+1</f>
        <v/>
      </c>
      <c r="B276" s="4">
        <f>B275+$B$6</f>
        <v/>
      </c>
      <c r="C276" s="4">
        <f>C275+($B$6/2)*(D275+F275)</f>
        <v/>
      </c>
      <c r="D276" s="4">
        <f>$B$3*C276^(3/4)*(1-(C276/$B$4)^(1/4))</f>
        <v/>
      </c>
      <c r="E276" s="4">
        <f>C276+$B$6*D276</f>
        <v/>
      </c>
      <c r="F276" s="4">
        <f>$B$3*E276^(3/4)*(1-(E276/$B$4)^(1/4))</f>
        <v/>
      </c>
      <c r="G276" s="4">
        <f>( $B$8 + ($B$9-$B$8)*EXP(-$B$3*B276/(4*$B$8)) )^4</f>
        <v/>
      </c>
      <c r="H276" s="4">
        <f>ABS(C276-G276)</f>
        <v/>
      </c>
    </row>
    <row r="277">
      <c r="A277" s="4">
        <f>A276+1</f>
        <v/>
      </c>
      <c r="B277" s="4">
        <f>B276+$B$6</f>
        <v/>
      </c>
      <c r="C277" s="4">
        <f>C276+($B$6/2)*(D276+F276)</f>
        <v/>
      </c>
      <c r="D277" s="4">
        <f>$B$3*C277^(3/4)*(1-(C277/$B$4)^(1/4))</f>
        <v/>
      </c>
      <c r="E277" s="4">
        <f>C277+$B$6*D277</f>
        <v/>
      </c>
      <c r="F277" s="4">
        <f>$B$3*E277^(3/4)*(1-(E277/$B$4)^(1/4))</f>
        <v/>
      </c>
      <c r="G277" s="4">
        <f>( $B$8 + ($B$9-$B$8)*EXP(-$B$3*B277/(4*$B$8)) )^4</f>
        <v/>
      </c>
      <c r="H277" s="4">
        <f>ABS(C277-G277)</f>
        <v/>
      </c>
    </row>
    <row r="278">
      <c r="A278" s="4">
        <f>A277+1</f>
        <v/>
      </c>
      <c r="B278" s="4">
        <f>B277+$B$6</f>
        <v/>
      </c>
      <c r="C278" s="4">
        <f>C277+($B$6/2)*(D277+F277)</f>
        <v/>
      </c>
      <c r="D278" s="4">
        <f>$B$3*C278^(3/4)*(1-(C278/$B$4)^(1/4))</f>
        <v/>
      </c>
      <c r="E278" s="4">
        <f>C278+$B$6*D278</f>
        <v/>
      </c>
      <c r="F278" s="4">
        <f>$B$3*E278^(3/4)*(1-(E278/$B$4)^(1/4))</f>
        <v/>
      </c>
      <c r="G278" s="4">
        <f>( $B$8 + ($B$9-$B$8)*EXP(-$B$3*B278/(4*$B$8)) )^4</f>
        <v/>
      </c>
      <c r="H278" s="4">
        <f>ABS(C278-G278)</f>
        <v/>
      </c>
    </row>
    <row r="279">
      <c r="A279" s="4">
        <f>A278+1</f>
        <v/>
      </c>
      <c r="B279" s="4">
        <f>B278+$B$6</f>
        <v/>
      </c>
      <c r="C279" s="4">
        <f>C278+($B$6/2)*(D278+F278)</f>
        <v/>
      </c>
      <c r="D279" s="4">
        <f>$B$3*C279^(3/4)*(1-(C279/$B$4)^(1/4))</f>
        <v/>
      </c>
      <c r="E279" s="4">
        <f>C279+$B$6*D279</f>
        <v/>
      </c>
      <c r="F279" s="4">
        <f>$B$3*E279^(3/4)*(1-(E279/$B$4)^(1/4))</f>
        <v/>
      </c>
      <c r="G279" s="4">
        <f>( $B$8 + ($B$9-$B$8)*EXP(-$B$3*B279/(4*$B$8)) )^4</f>
        <v/>
      </c>
      <c r="H279" s="4">
        <f>ABS(C279-G279)</f>
        <v/>
      </c>
    </row>
    <row r="280">
      <c r="A280" s="4">
        <f>A279+1</f>
        <v/>
      </c>
      <c r="B280" s="4">
        <f>B279+$B$6</f>
        <v/>
      </c>
      <c r="C280" s="4">
        <f>C279+($B$6/2)*(D279+F279)</f>
        <v/>
      </c>
      <c r="D280" s="4">
        <f>$B$3*C280^(3/4)*(1-(C280/$B$4)^(1/4))</f>
        <v/>
      </c>
      <c r="E280" s="4">
        <f>C280+$B$6*D280</f>
        <v/>
      </c>
      <c r="F280" s="4">
        <f>$B$3*E280^(3/4)*(1-(E280/$B$4)^(1/4))</f>
        <v/>
      </c>
      <c r="G280" s="4">
        <f>( $B$8 + ($B$9-$B$8)*EXP(-$B$3*B280/(4*$B$8)) )^4</f>
        <v/>
      </c>
      <c r="H280" s="4">
        <f>ABS(C280-G280)</f>
        <v/>
      </c>
    </row>
    <row r="281">
      <c r="A281" s="4">
        <f>A280+1</f>
        <v/>
      </c>
      <c r="B281" s="4">
        <f>B280+$B$6</f>
        <v/>
      </c>
      <c r="C281" s="4">
        <f>C280+($B$6/2)*(D280+F280)</f>
        <v/>
      </c>
      <c r="D281" s="4">
        <f>$B$3*C281^(3/4)*(1-(C281/$B$4)^(1/4))</f>
        <v/>
      </c>
      <c r="E281" s="4">
        <f>C281+$B$6*D281</f>
        <v/>
      </c>
      <c r="F281" s="4">
        <f>$B$3*E281^(3/4)*(1-(E281/$B$4)^(1/4))</f>
        <v/>
      </c>
      <c r="G281" s="4">
        <f>( $B$8 + ($B$9-$B$8)*EXP(-$B$3*B281/(4*$B$8)) )^4</f>
        <v/>
      </c>
      <c r="H281" s="4">
        <f>ABS(C281-G281)</f>
        <v/>
      </c>
    </row>
    <row r="282">
      <c r="A282" s="4">
        <f>A281+1</f>
        <v/>
      </c>
      <c r="B282" s="4">
        <f>B281+$B$6</f>
        <v/>
      </c>
      <c r="C282" s="4">
        <f>C281+($B$6/2)*(D281+F281)</f>
        <v/>
      </c>
      <c r="D282" s="4">
        <f>$B$3*C282^(3/4)*(1-(C282/$B$4)^(1/4))</f>
        <v/>
      </c>
      <c r="E282" s="4">
        <f>C282+$B$6*D282</f>
        <v/>
      </c>
      <c r="F282" s="4">
        <f>$B$3*E282^(3/4)*(1-(E282/$B$4)^(1/4))</f>
        <v/>
      </c>
      <c r="G282" s="4">
        <f>( $B$8 + ($B$9-$B$8)*EXP(-$B$3*B282/(4*$B$8)) )^4</f>
        <v/>
      </c>
      <c r="H282" s="4">
        <f>ABS(C282-G282)</f>
        <v/>
      </c>
    </row>
    <row r="283">
      <c r="A283" s="4">
        <f>A282+1</f>
        <v/>
      </c>
      <c r="B283" s="4">
        <f>B282+$B$6</f>
        <v/>
      </c>
      <c r="C283" s="4">
        <f>C282+($B$6/2)*(D282+F282)</f>
        <v/>
      </c>
      <c r="D283" s="4">
        <f>$B$3*C283^(3/4)*(1-(C283/$B$4)^(1/4))</f>
        <v/>
      </c>
      <c r="E283" s="4">
        <f>C283+$B$6*D283</f>
        <v/>
      </c>
      <c r="F283" s="4">
        <f>$B$3*E283^(3/4)*(1-(E283/$B$4)^(1/4))</f>
        <v/>
      </c>
      <c r="G283" s="4">
        <f>( $B$8 + ($B$9-$B$8)*EXP(-$B$3*B283/(4*$B$8)) )^4</f>
        <v/>
      </c>
      <c r="H283" s="4">
        <f>ABS(C283-G283)</f>
        <v/>
      </c>
    </row>
    <row r="284">
      <c r="A284" s="4">
        <f>A283+1</f>
        <v/>
      </c>
      <c r="B284" s="4">
        <f>B283+$B$6</f>
        <v/>
      </c>
      <c r="C284" s="4">
        <f>C283+($B$6/2)*(D283+F283)</f>
        <v/>
      </c>
      <c r="D284" s="4">
        <f>$B$3*C284^(3/4)*(1-(C284/$B$4)^(1/4))</f>
        <v/>
      </c>
      <c r="E284" s="4">
        <f>C284+$B$6*D284</f>
        <v/>
      </c>
      <c r="F284" s="4">
        <f>$B$3*E284^(3/4)*(1-(E284/$B$4)^(1/4))</f>
        <v/>
      </c>
      <c r="G284" s="4">
        <f>( $B$8 + ($B$9-$B$8)*EXP(-$B$3*B284/(4*$B$8)) )^4</f>
        <v/>
      </c>
      <c r="H284" s="4">
        <f>ABS(C284-G284)</f>
        <v/>
      </c>
    </row>
    <row r="285">
      <c r="A285" s="4">
        <f>A284+1</f>
        <v/>
      </c>
      <c r="B285" s="4">
        <f>B284+$B$6</f>
        <v/>
      </c>
      <c r="C285" s="4">
        <f>C284+($B$6/2)*(D284+F284)</f>
        <v/>
      </c>
      <c r="D285" s="4">
        <f>$B$3*C285^(3/4)*(1-(C285/$B$4)^(1/4))</f>
        <v/>
      </c>
      <c r="E285" s="4">
        <f>C285+$B$6*D285</f>
        <v/>
      </c>
      <c r="F285" s="4">
        <f>$B$3*E285^(3/4)*(1-(E285/$B$4)^(1/4))</f>
        <v/>
      </c>
      <c r="G285" s="4">
        <f>( $B$8 + ($B$9-$B$8)*EXP(-$B$3*B285/(4*$B$8)) )^4</f>
        <v/>
      </c>
      <c r="H285" s="4">
        <f>ABS(C285-G285)</f>
        <v/>
      </c>
    </row>
    <row r="286">
      <c r="A286" s="4">
        <f>A285+1</f>
        <v/>
      </c>
      <c r="B286" s="4">
        <f>B285+$B$6</f>
        <v/>
      </c>
      <c r="C286" s="4">
        <f>C285+($B$6/2)*(D285+F285)</f>
        <v/>
      </c>
      <c r="D286" s="4">
        <f>$B$3*C286^(3/4)*(1-(C286/$B$4)^(1/4))</f>
        <v/>
      </c>
      <c r="E286" s="4">
        <f>C286+$B$6*D286</f>
        <v/>
      </c>
      <c r="F286" s="4">
        <f>$B$3*E286^(3/4)*(1-(E286/$B$4)^(1/4))</f>
        <v/>
      </c>
      <c r="G286" s="4">
        <f>( $B$8 + ($B$9-$B$8)*EXP(-$B$3*B286/(4*$B$8)) )^4</f>
        <v/>
      </c>
      <c r="H286" s="4">
        <f>ABS(C286-G286)</f>
        <v/>
      </c>
    </row>
    <row r="287">
      <c r="A287" s="4">
        <f>A286+1</f>
        <v/>
      </c>
      <c r="B287" s="4">
        <f>B286+$B$6</f>
        <v/>
      </c>
      <c r="C287" s="4">
        <f>C286+($B$6/2)*(D286+F286)</f>
        <v/>
      </c>
      <c r="D287" s="4">
        <f>$B$3*C287^(3/4)*(1-(C287/$B$4)^(1/4))</f>
        <v/>
      </c>
      <c r="E287" s="4">
        <f>C287+$B$6*D287</f>
        <v/>
      </c>
      <c r="F287" s="4">
        <f>$B$3*E287^(3/4)*(1-(E287/$B$4)^(1/4))</f>
        <v/>
      </c>
      <c r="G287" s="4">
        <f>( $B$8 + ($B$9-$B$8)*EXP(-$B$3*B287/(4*$B$8)) )^4</f>
        <v/>
      </c>
      <c r="H287" s="4">
        <f>ABS(C287-G287)</f>
        <v/>
      </c>
    </row>
    <row r="288">
      <c r="A288" s="4">
        <f>A287+1</f>
        <v/>
      </c>
      <c r="B288" s="4">
        <f>B287+$B$6</f>
        <v/>
      </c>
      <c r="C288" s="4">
        <f>C287+($B$6/2)*(D287+F287)</f>
        <v/>
      </c>
      <c r="D288" s="4">
        <f>$B$3*C288^(3/4)*(1-(C288/$B$4)^(1/4))</f>
        <v/>
      </c>
      <c r="E288" s="4">
        <f>C288+$B$6*D288</f>
        <v/>
      </c>
      <c r="F288" s="4">
        <f>$B$3*E288^(3/4)*(1-(E288/$B$4)^(1/4))</f>
        <v/>
      </c>
      <c r="G288" s="4">
        <f>( $B$8 + ($B$9-$B$8)*EXP(-$B$3*B288/(4*$B$8)) )^4</f>
        <v/>
      </c>
      <c r="H288" s="4">
        <f>ABS(C288-G288)</f>
        <v/>
      </c>
    </row>
    <row r="289">
      <c r="A289" s="4">
        <f>A288+1</f>
        <v/>
      </c>
      <c r="B289" s="4">
        <f>B288+$B$6</f>
        <v/>
      </c>
      <c r="C289" s="4">
        <f>C288+($B$6/2)*(D288+F288)</f>
        <v/>
      </c>
      <c r="D289" s="4">
        <f>$B$3*C289^(3/4)*(1-(C289/$B$4)^(1/4))</f>
        <v/>
      </c>
      <c r="E289" s="4">
        <f>C289+$B$6*D289</f>
        <v/>
      </c>
      <c r="F289" s="4">
        <f>$B$3*E289^(3/4)*(1-(E289/$B$4)^(1/4))</f>
        <v/>
      </c>
      <c r="G289" s="4">
        <f>( $B$8 + ($B$9-$B$8)*EXP(-$B$3*B289/(4*$B$8)) )^4</f>
        <v/>
      </c>
      <c r="H289" s="4">
        <f>ABS(C289-G289)</f>
        <v/>
      </c>
    </row>
    <row r="290">
      <c r="A290" s="4">
        <f>A289+1</f>
        <v/>
      </c>
      <c r="B290" s="4">
        <f>B289+$B$6</f>
        <v/>
      </c>
      <c r="C290" s="4">
        <f>C289+($B$6/2)*(D289+F289)</f>
        <v/>
      </c>
      <c r="D290" s="4">
        <f>$B$3*C290^(3/4)*(1-(C290/$B$4)^(1/4))</f>
        <v/>
      </c>
      <c r="E290" s="4">
        <f>C290+$B$6*D290</f>
        <v/>
      </c>
      <c r="F290" s="4">
        <f>$B$3*E290^(3/4)*(1-(E290/$B$4)^(1/4))</f>
        <v/>
      </c>
      <c r="G290" s="4">
        <f>( $B$8 + ($B$9-$B$8)*EXP(-$B$3*B290/(4*$B$8)) )^4</f>
        <v/>
      </c>
      <c r="H290" s="4">
        <f>ABS(C290-G290)</f>
        <v/>
      </c>
    </row>
    <row r="291">
      <c r="A291" s="4">
        <f>A290+1</f>
        <v/>
      </c>
      <c r="B291" s="4">
        <f>B290+$B$6</f>
        <v/>
      </c>
      <c r="C291" s="4">
        <f>C290+($B$6/2)*(D290+F290)</f>
        <v/>
      </c>
      <c r="D291" s="4">
        <f>$B$3*C291^(3/4)*(1-(C291/$B$4)^(1/4))</f>
        <v/>
      </c>
      <c r="E291" s="4">
        <f>C291+$B$6*D291</f>
        <v/>
      </c>
      <c r="F291" s="4">
        <f>$B$3*E291^(3/4)*(1-(E291/$B$4)^(1/4))</f>
        <v/>
      </c>
      <c r="G291" s="4">
        <f>( $B$8 + ($B$9-$B$8)*EXP(-$B$3*B291/(4*$B$8)) )^4</f>
        <v/>
      </c>
      <c r="H291" s="4">
        <f>ABS(C291-G291)</f>
        <v/>
      </c>
    </row>
    <row r="292">
      <c r="A292" s="4">
        <f>A291+1</f>
        <v/>
      </c>
      <c r="B292" s="4">
        <f>B291+$B$6</f>
        <v/>
      </c>
      <c r="C292" s="4">
        <f>C291+($B$6/2)*(D291+F291)</f>
        <v/>
      </c>
      <c r="D292" s="4">
        <f>$B$3*C292^(3/4)*(1-(C292/$B$4)^(1/4))</f>
        <v/>
      </c>
      <c r="E292" s="4">
        <f>C292+$B$6*D292</f>
        <v/>
      </c>
      <c r="F292" s="4">
        <f>$B$3*E292^(3/4)*(1-(E292/$B$4)^(1/4))</f>
        <v/>
      </c>
      <c r="G292" s="4">
        <f>( $B$8 + ($B$9-$B$8)*EXP(-$B$3*B292/(4*$B$8)) )^4</f>
        <v/>
      </c>
      <c r="H292" s="4">
        <f>ABS(C292-G292)</f>
        <v/>
      </c>
    </row>
    <row r="293">
      <c r="A293" s="4">
        <f>A292+1</f>
        <v/>
      </c>
      <c r="B293" s="4">
        <f>B292+$B$6</f>
        <v/>
      </c>
      <c r="C293" s="4">
        <f>C292+($B$6/2)*(D292+F292)</f>
        <v/>
      </c>
      <c r="D293" s="4">
        <f>$B$3*C293^(3/4)*(1-(C293/$B$4)^(1/4))</f>
        <v/>
      </c>
      <c r="E293" s="4">
        <f>C293+$B$6*D293</f>
        <v/>
      </c>
      <c r="F293" s="4">
        <f>$B$3*E293^(3/4)*(1-(E293/$B$4)^(1/4))</f>
        <v/>
      </c>
      <c r="G293" s="4">
        <f>( $B$8 + ($B$9-$B$8)*EXP(-$B$3*B293/(4*$B$8)) )^4</f>
        <v/>
      </c>
      <c r="H293" s="4">
        <f>ABS(C293-G293)</f>
        <v/>
      </c>
    </row>
    <row r="294">
      <c r="A294" s="4">
        <f>A293+1</f>
        <v/>
      </c>
      <c r="B294" s="4">
        <f>B293+$B$6</f>
        <v/>
      </c>
      <c r="C294" s="4">
        <f>C293+($B$6/2)*(D293+F293)</f>
        <v/>
      </c>
      <c r="D294" s="4">
        <f>$B$3*C294^(3/4)*(1-(C294/$B$4)^(1/4))</f>
        <v/>
      </c>
      <c r="E294" s="4">
        <f>C294+$B$6*D294</f>
        <v/>
      </c>
      <c r="F294" s="4">
        <f>$B$3*E294^(3/4)*(1-(E294/$B$4)^(1/4))</f>
        <v/>
      </c>
      <c r="G294" s="4">
        <f>( $B$8 + ($B$9-$B$8)*EXP(-$B$3*B294/(4*$B$8)) )^4</f>
        <v/>
      </c>
      <c r="H294" s="4">
        <f>ABS(C294-G294)</f>
        <v/>
      </c>
    </row>
    <row r="295">
      <c r="A295" s="4">
        <f>A294+1</f>
        <v/>
      </c>
      <c r="B295" s="4">
        <f>B294+$B$6</f>
        <v/>
      </c>
      <c r="C295" s="4">
        <f>C294+($B$6/2)*(D294+F294)</f>
        <v/>
      </c>
      <c r="D295" s="4">
        <f>$B$3*C295^(3/4)*(1-(C295/$B$4)^(1/4))</f>
        <v/>
      </c>
      <c r="E295" s="4">
        <f>C295+$B$6*D295</f>
        <v/>
      </c>
      <c r="F295" s="4">
        <f>$B$3*E295^(3/4)*(1-(E295/$B$4)^(1/4))</f>
        <v/>
      </c>
      <c r="G295" s="4">
        <f>( $B$8 + ($B$9-$B$8)*EXP(-$B$3*B295/(4*$B$8)) )^4</f>
        <v/>
      </c>
      <c r="H295" s="4">
        <f>ABS(C295-G295)</f>
        <v/>
      </c>
    </row>
    <row r="296">
      <c r="A296" s="4">
        <f>A295+1</f>
        <v/>
      </c>
      <c r="B296" s="4">
        <f>B295+$B$6</f>
        <v/>
      </c>
      <c r="C296" s="4">
        <f>C295+($B$6/2)*(D295+F295)</f>
        <v/>
      </c>
      <c r="D296" s="4">
        <f>$B$3*C296^(3/4)*(1-(C296/$B$4)^(1/4))</f>
        <v/>
      </c>
      <c r="E296" s="4">
        <f>C296+$B$6*D296</f>
        <v/>
      </c>
      <c r="F296" s="4">
        <f>$B$3*E296^(3/4)*(1-(E296/$B$4)^(1/4))</f>
        <v/>
      </c>
      <c r="G296" s="4">
        <f>( $B$8 + ($B$9-$B$8)*EXP(-$B$3*B296/(4*$B$8)) )^4</f>
        <v/>
      </c>
      <c r="H296" s="4">
        <f>ABS(C296-G296)</f>
        <v/>
      </c>
    </row>
    <row r="297">
      <c r="A297" s="4">
        <f>A296+1</f>
        <v/>
      </c>
      <c r="B297" s="4">
        <f>B296+$B$6</f>
        <v/>
      </c>
      <c r="C297" s="4">
        <f>C296+($B$6/2)*(D296+F296)</f>
        <v/>
      </c>
      <c r="D297" s="4">
        <f>$B$3*C297^(3/4)*(1-(C297/$B$4)^(1/4))</f>
        <v/>
      </c>
      <c r="E297" s="4">
        <f>C297+$B$6*D297</f>
        <v/>
      </c>
      <c r="F297" s="4">
        <f>$B$3*E297^(3/4)*(1-(E297/$B$4)^(1/4))</f>
        <v/>
      </c>
      <c r="G297" s="4">
        <f>( $B$8 + ($B$9-$B$8)*EXP(-$B$3*B297/(4*$B$8)) )^4</f>
        <v/>
      </c>
      <c r="H297" s="4">
        <f>ABS(C297-G297)</f>
        <v/>
      </c>
    </row>
    <row r="298">
      <c r="A298" s="4">
        <f>A297+1</f>
        <v/>
      </c>
      <c r="B298" s="4">
        <f>B297+$B$6</f>
        <v/>
      </c>
      <c r="C298" s="4">
        <f>C297+($B$6/2)*(D297+F297)</f>
        <v/>
      </c>
      <c r="D298" s="4">
        <f>$B$3*C298^(3/4)*(1-(C298/$B$4)^(1/4))</f>
        <v/>
      </c>
      <c r="E298" s="4">
        <f>C298+$B$6*D298</f>
        <v/>
      </c>
      <c r="F298" s="4">
        <f>$B$3*E298^(3/4)*(1-(E298/$B$4)^(1/4))</f>
        <v/>
      </c>
      <c r="G298" s="4">
        <f>( $B$8 + ($B$9-$B$8)*EXP(-$B$3*B298/(4*$B$8)) )^4</f>
        <v/>
      </c>
      <c r="H298" s="4">
        <f>ABS(C298-G298)</f>
        <v/>
      </c>
    </row>
    <row r="299">
      <c r="A299" s="4">
        <f>A298+1</f>
        <v/>
      </c>
      <c r="B299" s="4">
        <f>B298+$B$6</f>
        <v/>
      </c>
      <c r="C299" s="4">
        <f>C298+($B$6/2)*(D298+F298)</f>
        <v/>
      </c>
      <c r="D299" s="4">
        <f>$B$3*C299^(3/4)*(1-(C299/$B$4)^(1/4))</f>
        <v/>
      </c>
      <c r="E299" s="4">
        <f>C299+$B$6*D299</f>
        <v/>
      </c>
      <c r="F299" s="4">
        <f>$B$3*E299^(3/4)*(1-(E299/$B$4)^(1/4))</f>
        <v/>
      </c>
      <c r="G299" s="4">
        <f>( $B$8 + ($B$9-$B$8)*EXP(-$B$3*B299/(4*$B$8)) )^4</f>
        <v/>
      </c>
      <c r="H299" s="4">
        <f>ABS(C299-G299)</f>
        <v/>
      </c>
    </row>
    <row r="300">
      <c r="A300" s="4">
        <f>A299+1</f>
        <v/>
      </c>
      <c r="B300" s="4">
        <f>B299+$B$6</f>
        <v/>
      </c>
      <c r="C300" s="4">
        <f>C299+($B$6/2)*(D299+F299)</f>
        <v/>
      </c>
      <c r="D300" s="4">
        <f>$B$3*C300^(3/4)*(1-(C300/$B$4)^(1/4))</f>
        <v/>
      </c>
      <c r="E300" s="4">
        <f>C300+$B$6*D300</f>
        <v/>
      </c>
      <c r="F300" s="4">
        <f>$B$3*E300^(3/4)*(1-(E300/$B$4)^(1/4))</f>
        <v/>
      </c>
      <c r="G300" s="4">
        <f>( $B$8 + ($B$9-$B$8)*EXP(-$B$3*B300/(4*$B$8)) )^4</f>
        <v/>
      </c>
      <c r="H300" s="4">
        <f>ABS(C300-G300)</f>
        <v/>
      </c>
    </row>
    <row r="301">
      <c r="A301" s="4">
        <f>A300+1</f>
        <v/>
      </c>
      <c r="B301" s="4">
        <f>B300+$B$6</f>
        <v/>
      </c>
      <c r="C301" s="4">
        <f>C300+($B$6/2)*(D300+F300)</f>
        <v/>
      </c>
      <c r="D301" s="4">
        <f>$B$3*C301^(3/4)*(1-(C301/$B$4)^(1/4))</f>
        <v/>
      </c>
      <c r="E301" s="4">
        <f>C301+$B$6*D301</f>
        <v/>
      </c>
      <c r="F301" s="4">
        <f>$B$3*E301^(3/4)*(1-(E301/$B$4)^(1/4))</f>
        <v/>
      </c>
      <c r="G301" s="4">
        <f>( $B$8 + ($B$9-$B$8)*EXP(-$B$3*B301/(4*$B$8)) )^4</f>
        <v/>
      </c>
      <c r="H301" s="4">
        <f>ABS(C301-G301)</f>
        <v/>
      </c>
    </row>
    <row r="302">
      <c r="A302" s="4">
        <f>A301+1</f>
        <v/>
      </c>
      <c r="B302" s="4">
        <f>B301+$B$6</f>
        <v/>
      </c>
      <c r="C302" s="4">
        <f>C301+($B$6/2)*(D301+F301)</f>
        <v/>
      </c>
      <c r="D302" s="4">
        <f>$B$3*C302^(3/4)*(1-(C302/$B$4)^(1/4))</f>
        <v/>
      </c>
      <c r="E302" s="4">
        <f>C302+$B$6*D302</f>
        <v/>
      </c>
      <c r="F302" s="4">
        <f>$B$3*E302^(3/4)*(1-(E302/$B$4)^(1/4))</f>
        <v/>
      </c>
      <c r="G302" s="4">
        <f>( $B$8 + ($B$9-$B$8)*EXP(-$B$3*B302/(4*$B$8)) )^4</f>
        <v/>
      </c>
      <c r="H302" s="4">
        <f>ABS(C302-G302)</f>
        <v/>
      </c>
    </row>
    <row r="303">
      <c r="A303" s="4">
        <f>A302+1</f>
        <v/>
      </c>
      <c r="B303" s="4">
        <f>B302+$B$6</f>
        <v/>
      </c>
      <c r="C303" s="4">
        <f>C302+($B$6/2)*(D302+F302)</f>
        <v/>
      </c>
      <c r="D303" s="4">
        <f>$B$3*C303^(3/4)*(1-(C303/$B$4)^(1/4))</f>
        <v/>
      </c>
      <c r="E303" s="4">
        <f>C303+$B$6*D303</f>
        <v/>
      </c>
      <c r="F303" s="4">
        <f>$B$3*E303^(3/4)*(1-(E303/$B$4)^(1/4))</f>
        <v/>
      </c>
      <c r="G303" s="4">
        <f>( $B$8 + ($B$9-$B$8)*EXP(-$B$3*B303/(4*$B$8)) )^4</f>
        <v/>
      </c>
      <c r="H303" s="4">
        <f>ABS(C303-G303)</f>
        <v/>
      </c>
    </row>
    <row r="304">
      <c r="A304" s="4">
        <f>A303+1</f>
        <v/>
      </c>
      <c r="B304" s="4">
        <f>B303+$B$6</f>
        <v/>
      </c>
      <c r="C304" s="4">
        <f>C303+($B$6/2)*(D303+F303)</f>
        <v/>
      </c>
      <c r="D304" s="4">
        <f>$B$3*C304^(3/4)*(1-(C304/$B$4)^(1/4))</f>
        <v/>
      </c>
      <c r="E304" s="4">
        <f>C304+$B$6*D304</f>
        <v/>
      </c>
      <c r="F304" s="4">
        <f>$B$3*E304^(3/4)*(1-(E304/$B$4)^(1/4))</f>
        <v/>
      </c>
      <c r="G304" s="4">
        <f>( $B$8 + ($B$9-$B$8)*EXP(-$B$3*B304/(4*$B$8)) )^4</f>
        <v/>
      </c>
      <c r="H304" s="4">
        <f>ABS(C304-G304)</f>
        <v/>
      </c>
    </row>
    <row r="305">
      <c r="A305" s="4">
        <f>A304+1</f>
        <v/>
      </c>
      <c r="B305" s="4">
        <f>B304+$B$6</f>
        <v/>
      </c>
      <c r="C305" s="4">
        <f>C304+($B$6/2)*(D304+F304)</f>
        <v/>
      </c>
      <c r="D305" s="4">
        <f>$B$3*C305^(3/4)*(1-(C305/$B$4)^(1/4))</f>
        <v/>
      </c>
      <c r="E305" s="4">
        <f>C305+$B$6*D305</f>
        <v/>
      </c>
      <c r="F305" s="4">
        <f>$B$3*E305^(3/4)*(1-(E305/$B$4)^(1/4))</f>
        <v/>
      </c>
      <c r="G305" s="4">
        <f>( $B$8 + ($B$9-$B$8)*EXP(-$B$3*B305/(4*$B$8)) )^4</f>
        <v/>
      </c>
      <c r="H305" s="4">
        <f>ABS(C305-G305)</f>
        <v/>
      </c>
    </row>
    <row r="306">
      <c r="A306" s="4">
        <f>A305+1</f>
        <v/>
      </c>
      <c r="B306" s="4">
        <f>B305+$B$6</f>
        <v/>
      </c>
      <c r="C306" s="4">
        <f>C305+($B$6/2)*(D305+F305)</f>
        <v/>
      </c>
      <c r="D306" s="4">
        <f>$B$3*C306^(3/4)*(1-(C306/$B$4)^(1/4))</f>
        <v/>
      </c>
      <c r="E306" s="4">
        <f>C306+$B$6*D306</f>
        <v/>
      </c>
      <c r="F306" s="4">
        <f>$B$3*E306^(3/4)*(1-(E306/$B$4)^(1/4))</f>
        <v/>
      </c>
      <c r="G306" s="4">
        <f>( $B$8 + ($B$9-$B$8)*EXP(-$B$3*B306/(4*$B$8)) )^4</f>
        <v/>
      </c>
      <c r="H306" s="4">
        <f>ABS(C306-G306)</f>
        <v/>
      </c>
    </row>
    <row r="307">
      <c r="A307" s="4">
        <f>A306+1</f>
        <v/>
      </c>
      <c r="B307" s="4">
        <f>B306+$B$6</f>
        <v/>
      </c>
      <c r="C307" s="4">
        <f>C306+($B$6/2)*(D306+F306)</f>
        <v/>
      </c>
      <c r="D307" s="4">
        <f>$B$3*C307^(3/4)*(1-(C307/$B$4)^(1/4))</f>
        <v/>
      </c>
      <c r="E307" s="4">
        <f>C307+$B$6*D307</f>
        <v/>
      </c>
      <c r="F307" s="4">
        <f>$B$3*E307^(3/4)*(1-(E307/$B$4)^(1/4))</f>
        <v/>
      </c>
      <c r="G307" s="4">
        <f>( $B$8 + ($B$9-$B$8)*EXP(-$B$3*B307/(4*$B$8)) )^4</f>
        <v/>
      </c>
      <c r="H307" s="4">
        <f>ABS(C307-G307)</f>
        <v/>
      </c>
    </row>
    <row r="308">
      <c r="A308" s="4">
        <f>A307+1</f>
        <v/>
      </c>
      <c r="B308" s="4">
        <f>B307+$B$6</f>
        <v/>
      </c>
      <c r="C308" s="4">
        <f>C307+($B$6/2)*(D307+F307)</f>
        <v/>
      </c>
      <c r="D308" s="4">
        <f>$B$3*C308^(3/4)*(1-(C308/$B$4)^(1/4))</f>
        <v/>
      </c>
      <c r="E308" s="4">
        <f>C308+$B$6*D308</f>
        <v/>
      </c>
      <c r="F308" s="4">
        <f>$B$3*E308^(3/4)*(1-(E308/$B$4)^(1/4))</f>
        <v/>
      </c>
      <c r="G308" s="4">
        <f>( $B$8 + ($B$9-$B$8)*EXP(-$B$3*B308/(4*$B$8)) )^4</f>
        <v/>
      </c>
      <c r="H308" s="4">
        <f>ABS(C308-G308)</f>
        <v/>
      </c>
    </row>
    <row r="309">
      <c r="A309" s="4">
        <f>A308+1</f>
        <v/>
      </c>
      <c r="B309" s="4">
        <f>B308+$B$6</f>
        <v/>
      </c>
      <c r="C309" s="4">
        <f>C308+($B$6/2)*(D308+F308)</f>
        <v/>
      </c>
      <c r="D309" s="4">
        <f>$B$3*C309^(3/4)*(1-(C309/$B$4)^(1/4))</f>
        <v/>
      </c>
      <c r="E309" s="4">
        <f>C309+$B$6*D309</f>
        <v/>
      </c>
      <c r="F309" s="4">
        <f>$B$3*E309^(3/4)*(1-(E309/$B$4)^(1/4))</f>
        <v/>
      </c>
      <c r="G309" s="4">
        <f>( $B$8 + ($B$9-$B$8)*EXP(-$B$3*B309/(4*$B$8)) )^4</f>
        <v/>
      </c>
      <c r="H309" s="4">
        <f>ABS(C309-G309)</f>
        <v/>
      </c>
    </row>
    <row r="310">
      <c r="A310" s="4">
        <f>A309+1</f>
        <v/>
      </c>
      <c r="B310" s="4">
        <f>B309+$B$6</f>
        <v/>
      </c>
      <c r="C310" s="4">
        <f>C309+($B$6/2)*(D309+F309)</f>
        <v/>
      </c>
      <c r="D310" s="4">
        <f>$B$3*C310^(3/4)*(1-(C310/$B$4)^(1/4))</f>
        <v/>
      </c>
      <c r="E310" s="4">
        <f>C310+$B$6*D310</f>
        <v/>
      </c>
      <c r="F310" s="4">
        <f>$B$3*E310^(3/4)*(1-(E310/$B$4)^(1/4))</f>
        <v/>
      </c>
      <c r="G310" s="4">
        <f>( $B$8 + ($B$9-$B$8)*EXP(-$B$3*B310/(4*$B$8)) )^4</f>
        <v/>
      </c>
      <c r="H310" s="4">
        <f>ABS(C310-G310)</f>
        <v/>
      </c>
    </row>
    <row r="311">
      <c r="A311" s="4">
        <f>A310+1</f>
        <v/>
      </c>
      <c r="B311" s="4">
        <f>B310+$B$6</f>
        <v/>
      </c>
      <c r="C311" s="4">
        <f>C310+($B$6/2)*(D310+F310)</f>
        <v/>
      </c>
      <c r="D311" s="4">
        <f>$B$3*C311^(3/4)*(1-(C311/$B$4)^(1/4))</f>
        <v/>
      </c>
      <c r="E311" s="4">
        <f>C311+$B$6*D311</f>
        <v/>
      </c>
      <c r="F311" s="4">
        <f>$B$3*E311^(3/4)*(1-(E311/$B$4)^(1/4))</f>
        <v/>
      </c>
      <c r="G311" s="4">
        <f>( $B$8 + ($B$9-$B$8)*EXP(-$B$3*B311/(4*$B$8)) )^4</f>
        <v/>
      </c>
      <c r="H311" s="4">
        <f>ABS(C311-G311)</f>
        <v/>
      </c>
    </row>
    <row r="312">
      <c r="A312" s="4">
        <f>A311+1</f>
        <v/>
      </c>
      <c r="B312" s="4">
        <f>B311+$B$6</f>
        <v/>
      </c>
      <c r="C312" s="4">
        <f>C311+($B$6/2)*(D311+F311)</f>
        <v/>
      </c>
      <c r="D312" s="4">
        <f>$B$3*C312^(3/4)*(1-(C312/$B$4)^(1/4))</f>
        <v/>
      </c>
      <c r="E312" s="4">
        <f>C312+$B$6*D312</f>
        <v/>
      </c>
      <c r="F312" s="4">
        <f>$B$3*E312^(3/4)*(1-(E312/$B$4)^(1/4))</f>
        <v/>
      </c>
      <c r="G312" s="4">
        <f>( $B$8 + ($B$9-$B$8)*EXP(-$B$3*B312/(4*$B$8)) )^4</f>
        <v/>
      </c>
      <c r="H312" s="4">
        <f>ABS(C312-G312)</f>
        <v/>
      </c>
    </row>
    <row r="313">
      <c r="A313" s="4">
        <f>A312+1</f>
        <v/>
      </c>
      <c r="B313" s="4">
        <f>B312+$B$6</f>
        <v/>
      </c>
      <c r="C313" s="4">
        <f>C312+($B$6/2)*(D312+F312)</f>
        <v/>
      </c>
      <c r="D313" s="4">
        <f>$B$3*C313^(3/4)*(1-(C313/$B$4)^(1/4))</f>
        <v/>
      </c>
      <c r="E313" s="4">
        <f>C313+$B$6*D313</f>
        <v/>
      </c>
      <c r="F313" s="4">
        <f>$B$3*E313^(3/4)*(1-(E313/$B$4)^(1/4))</f>
        <v/>
      </c>
      <c r="G313" s="4">
        <f>( $B$8 + ($B$9-$B$8)*EXP(-$B$3*B313/(4*$B$8)) )^4</f>
        <v/>
      </c>
      <c r="H313" s="4">
        <f>ABS(C313-G313)</f>
        <v/>
      </c>
    </row>
    <row r="314">
      <c r="A314" s="4">
        <f>A313+1</f>
        <v/>
      </c>
      <c r="B314" s="4">
        <f>B313+$B$6</f>
        <v/>
      </c>
      <c r="C314" s="4">
        <f>C313+($B$6/2)*(D313+F313)</f>
        <v/>
      </c>
      <c r="D314" s="4">
        <f>$B$3*C314^(3/4)*(1-(C314/$B$4)^(1/4))</f>
        <v/>
      </c>
      <c r="E314" s="4">
        <f>C314+$B$6*D314</f>
        <v/>
      </c>
      <c r="F314" s="4">
        <f>$B$3*E314^(3/4)*(1-(E314/$B$4)^(1/4))</f>
        <v/>
      </c>
      <c r="G314" s="4">
        <f>( $B$8 + ($B$9-$B$8)*EXP(-$B$3*B314/(4*$B$8)) )^4</f>
        <v/>
      </c>
      <c r="H314" s="4">
        <f>ABS(C314-G314)</f>
        <v/>
      </c>
    </row>
    <row r="315">
      <c r="A315" s="4">
        <f>A314+1</f>
        <v/>
      </c>
      <c r="B315" s="4">
        <f>B314+$B$6</f>
        <v/>
      </c>
      <c r="C315" s="4">
        <f>C314+($B$6/2)*(D314+F314)</f>
        <v/>
      </c>
      <c r="D315" s="4">
        <f>$B$3*C315^(3/4)*(1-(C315/$B$4)^(1/4))</f>
        <v/>
      </c>
      <c r="E315" s="4">
        <f>C315+$B$6*D315</f>
        <v/>
      </c>
      <c r="F315" s="4">
        <f>$B$3*E315^(3/4)*(1-(E315/$B$4)^(1/4))</f>
        <v/>
      </c>
      <c r="G315" s="4">
        <f>( $B$8 + ($B$9-$B$8)*EXP(-$B$3*B315/(4*$B$8)) )^4</f>
        <v/>
      </c>
      <c r="H315" s="4">
        <f>ABS(C315-G315)</f>
        <v/>
      </c>
    </row>
    <row r="316">
      <c r="A316" s="4">
        <f>A315+1</f>
        <v/>
      </c>
      <c r="B316" s="4">
        <f>B315+$B$6</f>
        <v/>
      </c>
      <c r="C316" s="4">
        <f>C315+($B$6/2)*(D315+F315)</f>
        <v/>
      </c>
      <c r="D316" s="4">
        <f>$B$3*C316^(3/4)*(1-(C316/$B$4)^(1/4))</f>
        <v/>
      </c>
      <c r="E316" s="4">
        <f>C316+$B$6*D316</f>
        <v/>
      </c>
      <c r="F316" s="4">
        <f>$B$3*E316^(3/4)*(1-(E316/$B$4)^(1/4))</f>
        <v/>
      </c>
      <c r="G316" s="4">
        <f>( $B$8 + ($B$9-$B$8)*EXP(-$B$3*B316/(4*$B$8)) )^4</f>
        <v/>
      </c>
      <c r="H316" s="4">
        <f>ABS(C316-G316)</f>
        <v/>
      </c>
    </row>
    <row r="317">
      <c r="A317" s="4">
        <f>A316+1</f>
        <v/>
      </c>
      <c r="B317" s="4">
        <f>B316+$B$6</f>
        <v/>
      </c>
      <c r="C317" s="4">
        <f>C316+($B$6/2)*(D316+F316)</f>
        <v/>
      </c>
      <c r="D317" s="4">
        <f>$B$3*C317^(3/4)*(1-(C317/$B$4)^(1/4))</f>
        <v/>
      </c>
      <c r="E317" s="4">
        <f>C317+$B$6*D317</f>
        <v/>
      </c>
      <c r="F317" s="4">
        <f>$B$3*E317^(3/4)*(1-(E317/$B$4)^(1/4))</f>
        <v/>
      </c>
      <c r="G317" s="4">
        <f>( $B$8 + ($B$9-$B$8)*EXP(-$B$3*B317/(4*$B$8)) )^4</f>
        <v/>
      </c>
      <c r="H317" s="4">
        <f>ABS(C317-G317)</f>
        <v/>
      </c>
    </row>
    <row r="318">
      <c r="A318" s="4">
        <f>A317+1</f>
        <v/>
      </c>
      <c r="B318" s="4">
        <f>B317+$B$6</f>
        <v/>
      </c>
      <c r="C318" s="4">
        <f>C317+($B$6/2)*(D317+F317)</f>
        <v/>
      </c>
      <c r="D318" s="4">
        <f>$B$3*C318^(3/4)*(1-(C318/$B$4)^(1/4))</f>
        <v/>
      </c>
      <c r="E318" s="4">
        <f>C318+$B$6*D318</f>
        <v/>
      </c>
      <c r="F318" s="4">
        <f>$B$3*E318^(3/4)*(1-(E318/$B$4)^(1/4))</f>
        <v/>
      </c>
      <c r="G318" s="4">
        <f>( $B$8 + ($B$9-$B$8)*EXP(-$B$3*B318/(4*$B$8)) )^4</f>
        <v/>
      </c>
      <c r="H318" s="4">
        <f>ABS(C318-G318)</f>
        <v/>
      </c>
    </row>
    <row r="319">
      <c r="A319" s="4">
        <f>A318+1</f>
        <v/>
      </c>
      <c r="B319" s="4">
        <f>B318+$B$6</f>
        <v/>
      </c>
      <c r="C319" s="4">
        <f>C318+($B$6/2)*(D318+F318)</f>
        <v/>
      </c>
      <c r="D319" s="4">
        <f>$B$3*C319^(3/4)*(1-(C319/$B$4)^(1/4))</f>
        <v/>
      </c>
      <c r="E319" s="4">
        <f>C319+$B$6*D319</f>
        <v/>
      </c>
      <c r="F319" s="4">
        <f>$B$3*E319^(3/4)*(1-(E319/$B$4)^(1/4))</f>
        <v/>
      </c>
      <c r="G319" s="4">
        <f>( $B$8 + ($B$9-$B$8)*EXP(-$B$3*B319/(4*$B$8)) )^4</f>
        <v/>
      </c>
      <c r="H319" s="4">
        <f>ABS(C319-G319)</f>
        <v/>
      </c>
    </row>
    <row r="320">
      <c r="A320" s="4">
        <f>A319+1</f>
        <v/>
      </c>
      <c r="B320" s="4">
        <f>B319+$B$6</f>
        <v/>
      </c>
      <c r="C320" s="4">
        <f>C319+($B$6/2)*(D319+F319)</f>
        <v/>
      </c>
      <c r="D320" s="4">
        <f>$B$3*C320^(3/4)*(1-(C320/$B$4)^(1/4))</f>
        <v/>
      </c>
      <c r="E320" s="4">
        <f>C320+$B$6*D320</f>
        <v/>
      </c>
      <c r="F320" s="4">
        <f>$B$3*E320^(3/4)*(1-(E320/$B$4)^(1/4))</f>
        <v/>
      </c>
      <c r="G320" s="4">
        <f>( $B$8 + ($B$9-$B$8)*EXP(-$B$3*B320/(4*$B$8)) )^4</f>
        <v/>
      </c>
      <c r="H320" s="4">
        <f>ABS(C320-G320)</f>
        <v/>
      </c>
    </row>
    <row r="321">
      <c r="A321" s="4">
        <f>A320+1</f>
        <v/>
      </c>
      <c r="B321" s="4">
        <f>B320+$B$6</f>
        <v/>
      </c>
      <c r="C321" s="4">
        <f>C320+($B$6/2)*(D320+F320)</f>
        <v/>
      </c>
      <c r="D321" s="4">
        <f>$B$3*C321^(3/4)*(1-(C321/$B$4)^(1/4))</f>
        <v/>
      </c>
      <c r="E321" s="4">
        <f>C321+$B$6*D321</f>
        <v/>
      </c>
      <c r="F321" s="4">
        <f>$B$3*E321^(3/4)*(1-(E321/$B$4)^(1/4))</f>
        <v/>
      </c>
      <c r="G321" s="4">
        <f>( $B$8 + ($B$9-$B$8)*EXP(-$B$3*B321/(4*$B$8)) )^4</f>
        <v/>
      </c>
      <c r="H321" s="4">
        <f>ABS(C321-G321)</f>
        <v/>
      </c>
    </row>
    <row r="322">
      <c r="A322" s="4">
        <f>A321+1</f>
        <v/>
      </c>
      <c r="B322" s="4">
        <f>B321+$B$6</f>
        <v/>
      </c>
      <c r="C322" s="4">
        <f>C321+($B$6/2)*(D321+F321)</f>
        <v/>
      </c>
      <c r="D322" s="4">
        <f>$B$3*C322^(3/4)*(1-(C322/$B$4)^(1/4))</f>
        <v/>
      </c>
      <c r="E322" s="4">
        <f>C322+$B$6*D322</f>
        <v/>
      </c>
      <c r="F322" s="4">
        <f>$B$3*E322^(3/4)*(1-(E322/$B$4)^(1/4))</f>
        <v/>
      </c>
      <c r="G322" s="4">
        <f>( $B$8 + ($B$9-$B$8)*EXP(-$B$3*B322/(4*$B$8)) )^4</f>
        <v/>
      </c>
      <c r="H322" s="4">
        <f>ABS(C322-G322)</f>
        <v/>
      </c>
    </row>
    <row r="323">
      <c r="A323" s="4">
        <f>A322+1</f>
        <v/>
      </c>
      <c r="B323" s="4">
        <f>B322+$B$6</f>
        <v/>
      </c>
      <c r="C323" s="4">
        <f>C322+($B$6/2)*(D322+F322)</f>
        <v/>
      </c>
      <c r="D323" s="4">
        <f>$B$3*C323^(3/4)*(1-(C323/$B$4)^(1/4))</f>
        <v/>
      </c>
      <c r="E323" s="4">
        <f>C323+$B$6*D323</f>
        <v/>
      </c>
      <c r="F323" s="4">
        <f>$B$3*E323^(3/4)*(1-(E323/$B$4)^(1/4))</f>
        <v/>
      </c>
      <c r="G323" s="4">
        <f>( $B$8 + ($B$9-$B$8)*EXP(-$B$3*B323/(4*$B$8)) )^4</f>
        <v/>
      </c>
      <c r="H323" s="4">
        <f>ABS(C323-G323)</f>
        <v/>
      </c>
    </row>
    <row r="324">
      <c r="A324" s="4">
        <f>A323+1</f>
        <v/>
      </c>
      <c r="B324" s="4">
        <f>B323+$B$6</f>
        <v/>
      </c>
      <c r="C324" s="4">
        <f>C323+($B$6/2)*(D323+F323)</f>
        <v/>
      </c>
      <c r="D324" s="4">
        <f>$B$3*C324^(3/4)*(1-(C324/$B$4)^(1/4))</f>
        <v/>
      </c>
      <c r="E324" s="4">
        <f>C324+$B$6*D324</f>
        <v/>
      </c>
      <c r="F324" s="4">
        <f>$B$3*E324^(3/4)*(1-(E324/$B$4)^(1/4))</f>
        <v/>
      </c>
      <c r="G324" s="4">
        <f>( $B$8 + ($B$9-$B$8)*EXP(-$B$3*B324/(4*$B$8)) )^4</f>
        <v/>
      </c>
      <c r="H324" s="4">
        <f>ABS(C324-G324)</f>
        <v/>
      </c>
    </row>
    <row r="325">
      <c r="A325" s="4">
        <f>A324+1</f>
        <v/>
      </c>
      <c r="B325" s="4">
        <f>B324+$B$6</f>
        <v/>
      </c>
      <c r="C325" s="4">
        <f>C324+($B$6/2)*(D324+F324)</f>
        <v/>
      </c>
      <c r="D325" s="4">
        <f>$B$3*C325^(3/4)*(1-(C325/$B$4)^(1/4))</f>
        <v/>
      </c>
      <c r="E325" s="4">
        <f>C325+$B$6*D325</f>
        <v/>
      </c>
      <c r="F325" s="4">
        <f>$B$3*E325^(3/4)*(1-(E325/$B$4)^(1/4))</f>
        <v/>
      </c>
      <c r="G325" s="4">
        <f>( $B$8 + ($B$9-$B$8)*EXP(-$B$3*B325/(4*$B$8)) )^4</f>
        <v/>
      </c>
      <c r="H325" s="4">
        <f>ABS(C325-G325)</f>
        <v/>
      </c>
    </row>
    <row r="326">
      <c r="A326" s="4">
        <f>A325+1</f>
        <v/>
      </c>
      <c r="B326" s="4">
        <f>B325+$B$6</f>
        <v/>
      </c>
      <c r="C326" s="4">
        <f>C325+($B$6/2)*(D325+F325)</f>
        <v/>
      </c>
      <c r="D326" s="4">
        <f>$B$3*C326^(3/4)*(1-(C326/$B$4)^(1/4))</f>
        <v/>
      </c>
      <c r="E326" s="4">
        <f>C326+$B$6*D326</f>
        <v/>
      </c>
      <c r="F326" s="4">
        <f>$B$3*E326^(3/4)*(1-(E326/$B$4)^(1/4))</f>
        <v/>
      </c>
      <c r="G326" s="4">
        <f>( $B$8 + ($B$9-$B$8)*EXP(-$B$3*B326/(4*$B$8)) )^4</f>
        <v/>
      </c>
      <c r="H326" s="4">
        <f>ABS(C326-G326)</f>
        <v/>
      </c>
    </row>
    <row r="327">
      <c r="A327" s="4">
        <f>A326+1</f>
        <v/>
      </c>
      <c r="B327" s="4">
        <f>B326+$B$6</f>
        <v/>
      </c>
      <c r="C327" s="4">
        <f>C326+($B$6/2)*(D326+F326)</f>
        <v/>
      </c>
      <c r="D327" s="4">
        <f>$B$3*C327^(3/4)*(1-(C327/$B$4)^(1/4))</f>
        <v/>
      </c>
      <c r="E327" s="4">
        <f>C327+$B$6*D327</f>
        <v/>
      </c>
      <c r="F327" s="4">
        <f>$B$3*E327^(3/4)*(1-(E327/$B$4)^(1/4))</f>
        <v/>
      </c>
      <c r="G327" s="4">
        <f>( $B$8 + ($B$9-$B$8)*EXP(-$B$3*B327/(4*$B$8)) )^4</f>
        <v/>
      </c>
      <c r="H327" s="4">
        <f>ABS(C327-G327)</f>
        <v/>
      </c>
    </row>
    <row r="328">
      <c r="A328" s="4">
        <f>A327+1</f>
        <v/>
      </c>
      <c r="B328" s="4">
        <f>B327+$B$6</f>
        <v/>
      </c>
      <c r="C328" s="4">
        <f>C327+($B$6/2)*(D327+F327)</f>
        <v/>
      </c>
      <c r="D328" s="4">
        <f>$B$3*C328^(3/4)*(1-(C328/$B$4)^(1/4))</f>
        <v/>
      </c>
      <c r="E328" s="4">
        <f>C328+$B$6*D328</f>
        <v/>
      </c>
      <c r="F328" s="4">
        <f>$B$3*E328^(3/4)*(1-(E328/$B$4)^(1/4))</f>
        <v/>
      </c>
      <c r="G328" s="4">
        <f>( $B$8 + ($B$9-$B$8)*EXP(-$B$3*B328/(4*$B$8)) )^4</f>
        <v/>
      </c>
      <c r="H328" s="4">
        <f>ABS(C328-G328)</f>
        <v/>
      </c>
    </row>
    <row r="329">
      <c r="A329" s="4">
        <f>A328+1</f>
        <v/>
      </c>
      <c r="B329" s="4">
        <f>B328+$B$6</f>
        <v/>
      </c>
      <c r="C329" s="4">
        <f>C328+($B$6/2)*(D328+F328)</f>
        <v/>
      </c>
      <c r="D329" s="4">
        <f>$B$3*C329^(3/4)*(1-(C329/$B$4)^(1/4))</f>
        <v/>
      </c>
      <c r="E329" s="4">
        <f>C329+$B$6*D329</f>
        <v/>
      </c>
      <c r="F329" s="4">
        <f>$B$3*E329^(3/4)*(1-(E329/$B$4)^(1/4))</f>
        <v/>
      </c>
      <c r="G329" s="4">
        <f>( $B$8 + ($B$9-$B$8)*EXP(-$B$3*B329/(4*$B$8)) )^4</f>
        <v/>
      </c>
      <c r="H329" s="4">
        <f>ABS(C329-G329)</f>
        <v/>
      </c>
    </row>
    <row r="330">
      <c r="A330" s="4">
        <f>A329+1</f>
        <v/>
      </c>
      <c r="B330" s="4">
        <f>B329+$B$6</f>
        <v/>
      </c>
      <c r="C330" s="4">
        <f>C329+($B$6/2)*(D329+F329)</f>
        <v/>
      </c>
      <c r="D330" s="4">
        <f>$B$3*C330^(3/4)*(1-(C330/$B$4)^(1/4))</f>
        <v/>
      </c>
      <c r="E330" s="4">
        <f>C330+$B$6*D330</f>
        <v/>
      </c>
      <c r="F330" s="4">
        <f>$B$3*E330^(3/4)*(1-(E330/$B$4)^(1/4))</f>
        <v/>
      </c>
      <c r="G330" s="4">
        <f>( $B$8 + ($B$9-$B$8)*EXP(-$B$3*B330/(4*$B$8)) )^4</f>
        <v/>
      </c>
      <c r="H330" s="4">
        <f>ABS(C330-G330)</f>
        <v/>
      </c>
    </row>
    <row r="331">
      <c r="A331" s="4">
        <f>A330+1</f>
        <v/>
      </c>
      <c r="B331" s="4">
        <f>B330+$B$6</f>
        <v/>
      </c>
      <c r="C331" s="4">
        <f>C330+($B$6/2)*(D330+F330)</f>
        <v/>
      </c>
      <c r="D331" s="4">
        <f>$B$3*C331^(3/4)*(1-(C331/$B$4)^(1/4))</f>
        <v/>
      </c>
      <c r="E331" s="4">
        <f>C331+$B$6*D331</f>
        <v/>
      </c>
      <c r="F331" s="4">
        <f>$B$3*E331^(3/4)*(1-(E331/$B$4)^(1/4))</f>
        <v/>
      </c>
      <c r="G331" s="4">
        <f>( $B$8 + ($B$9-$B$8)*EXP(-$B$3*B331/(4*$B$8)) )^4</f>
        <v/>
      </c>
      <c r="H331" s="4">
        <f>ABS(C331-G331)</f>
        <v/>
      </c>
    </row>
    <row r="332">
      <c r="A332" s="4">
        <f>A331+1</f>
        <v/>
      </c>
      <c r="B332" s="4">
        <f>B331+$B$6</f>
        <v/>
      </c>
      <c r="C332" s="4">
        <f>C331+($B$6/2)*(D331+F331)</f>
        <v/>
      </c>
      <c r="D332" s="4">
        <f>$B$3*C332^(3/4)*(1-(C332/$B$4)^(1/4))</f>
        <v/>
      </c>
      <c r="E332" s="4">
        <f>C332+$B$6*D332</f>
        <v/>
      </c>
      <c r="F332" s="4">
        <f>$B$3*E332^(3/4)*(1-(E332/$B$4)^(1/4))</f>
        <v/>
      </c>
      <c r="G332" s="4">
        <f>( $B$8 + ($B$9-$B$8)*EXP(-$B$3*B332/(4*$B$8)) )^4</f>
        <v/>
      </c>
      <c r="H332" s="4">
        <f>ABS(C332-G332)</f>
        <v/>
      </c>
    </row>
    <row r="333">
      <c r="A333" s="4">
        <f>A332+1</f>
        <v/>
      </c>
      <c r="B333" s="4">
        <f>B332+$B$6</f>
        <v/>
      </c>
      <c r="C333" s="4">
        <f>C332+($B$6/2)*(D332+F332)</f>
        <v/>
      </c>
      <c r="D333" s="4">
        <f>$B$3*C333^(3/4)*(1-(C333/$B$4)^(1/4))</f>
        <v/>
      </c>
      <c r="E333" s="4">
        <f>C333+$B$6*D333</f>
        <v/>
      </c>
      <c r="F333" s="4">
        <f>$B$3*E333^(3/4)*(1-(E333/$B$4)^(1/4))</f>
        <v/>
      </c>
      <c r="G333" s="4">
        <f>( $B$8 + ($B$9-$B$8)*EXP(-$B$3*B333/(4*$B$8)) )^4</f>
        <v/>
      </c>
      <c r="H333" s="4">
        <f>ABS(C333-G333)</f>
        <v/>
      </c>
    </row>
    <row r="334">
      <c r="A334" s="4">
        <f>A333+1</f>
        <v/>
      </c>
      <c r="B334" s="4">
        <f>B333+$B$6</f>
        <v/>
      </c>
      <c r="C334" s="4">
        <f>C333+($B$6/2)*(D333+F333)</f>
        <v/>
      </c>
      <c r="D334" s="4">
        <f>$B$3*C334^(3/4)*(1-(C334/$B$4)^(1/4))</f>
        <v/>
      </c>
      <c r="E334" s="4">
        <f>C334+$B$6*D334</f>
        <v/>
      </c>
      <c r="F334" s="4">
        <f>$B$3*E334^(3/4)*(1-(E334/$B$4)^(1/4))</f>
        <v/>
      </c>
      <c r="G334" s="4">
        <f>( $B$8 + ($B$9-$B$8)*EXP(-$B$3*B334/(4*$B$8)) )^4</f>
        <v/>
      </c>
      <c r="H334" s="4">
        <f>ABS(C334-G334)</f>
        <v/>
      </c>
    </row>
    <row r="335">
      <c r="A335" s="4">
        <f>A334+1</f>
        <v/>
      </c>
      <c r="B335" s="4">
        <f>B334+$B$6</f>
        <v/>
      </c>
      <c r="C335" s="4">
        <f>C334+($B$6/2)*(D334+F334)</f>
        <v/>
      </c>
      <c r="D335" s="4">
        <f>$B$3*C335^(3/4)*(1-(C335/$B$4)^(1/4))</f>
        <v/>
      </c>
      <c r="E335" s="4">
        <f>C335+$B$6*D335</f>
        <v/>
      </c>
      <c r="F335" s="4">
        <f>$B$3*E335^(3/4)*(1-(E335/$B$4)^(1/4))</f>
        <v/>
      </c>
      <c r="G335" s="4">
        <f>( $B$8 + ($B$9-$B$8)*EXP(-$B$3*B335/(4*$B$8)) )^4</f>
        <v/>
      </c>
      <c r="H335" s="4">
        <f>ABS(C335-G335)</f>
        <v/>
      </c>
    </row>
    <row r="336">
      <c r="A336" s="4">
        <f>A335+1</f>
        <v/>
      </c>
      <c r="B336" s="4">
        <f>B335+$B$6</f>
        <v/>
      </c>
      <c r="C336" s="4">
        <f>C335+($B$6/2)*(D335+F335)</f>
        <v/>
      </c>
      <c r="D336" s="4">
        <f>$B$3*C336^(3/4)*(1-(C336/$B$4)^(1/4))</f>
        <v/>
      </c>
      <c r="E336" s="4">
        <f>C336+$B$6*D336</f>
        <v/>
      </c>
      <c r="F336" s="4">
        <f>$B$3*E336^(3/4)*(1-(E336/$B$4)^(1/4))</f>
        <v/>
      </c>
      <c r="G336" s="4">
        <f>( $B$8 + ($B$9-$B$8)*EXP(-$B$3*B336/(4*$B$8)) )^4</f>
        <v/>
      </c>
      <c r="H336" s="4">
        <f>ABS(C336-G336)</f>
        <v/>
      </c>
    </row>
    <row r="337">
      <c r="A337" s="4">
        <f>A336+1</f>
        <v/>
      </c>
      <c r="B337" s="4">
        <f>B336+$B$6</f>
        <v/>
      </c>
      <c r="C337" s="4">
        <f>C336+($B$6/2)*(D336+F336)</f>
        <v/>
      </c>
      <c r="D337" s="4">
        <f>$B$3*C337^(3/4)*(1-(C337/$B$4)^(1/4))</f>
        <v/>
      </c>
      <c r="E337" s="4">
        <f>C337+$B$6*D337</f>
        <v/>
      </c>
      <c r="F337" s="4">
        <f>$B$3*E337^(3/4)*(1-(E337/$B$4)^(1/4))</f>
        <v/>
      </c>
      <c r="G337" s="4">
        <f>( $B$8 + ($B$9-$B$8)*EXP(-$B$3*B337/(4*$B$8)) )^4</f>
        <v/>
      </c>
      <c r="H337" s="4">
        <f>ABS(C337-G337)</f>
        <v/>
      </c>
    </row>
    <row r="338">
      <c r="A338" s="4">
        <f>A337+1</f>
        <v/>
      </c>
      <c r="B338" s="4">
        <f>B337+$B$6</f>
        <v/>
      </c>
      <c r="C338" s="4">
        <f>C337+($B$6/2)*(D337+F337)</f>
        <v/>
      </c>
      <c r="D338" s="4">
        <f>$B$3*C338^(3/4)*(1-(C338/$B$4)^(1/4))</f>
        <v/>
      </c>
      <c r="E338" s="4">
        <f>C338+$B$6*D338</f>
        <v/>
      </c>
      <c r="F338" s="4">
        <f>$B$3*E338^(3/4)*(1-(E338/$B$4)^(1/4))</f>
        <v/>
      </c>
      <c r="G338" s="4">
        <f>( $B$8 + ($B$9-$B$8)*EXP(-$B$3*B338/(4*$B$8)) )^4</f>
        <v/>
      </c>
      <c r="H338" s="4">
        <f>ABS(C338-G338)</f>
        <v/>
      </c>
    </row>
    <row r="339">
      <c r="A339" s="4">
        <f>A338+1</f>
        <v/>
      </c>
      <c r="B339" s="4">
        <f>B338+$B$6</f>
        <v/>
      </c>
      <c r="C339" s="4">
        <f>C338+($B$6/2)*(D338+F338)</f>
        <v/>
      </c>
      <c r="D339" s="4">
        <f>$B$3*C339^(3/4)*(1-(C339/$B$4)^(1/4))</f>
        <v/>
      </c>
      <c r="E339" s="4">
        <f>C339+$B$6*D339</f>
        <v/>
      </c>
      <c r="F339" s="4">
        <f>$B$3*E339^(3/4)*(1-(E339/$B$4)^(1/4))</f>
        <v/>
      </c>
      <c r="G339" s="4">
        <f>( $B$8 + ($B$9-$B$8)*EXP(-$B$3*B339/(4*$B$8)) )^4</f>
        <v/>
      </c>
      <c r="H339" s="4">
        <f>ABS(C339-G339)</f>
        <v/>
      </c>
    </row>
    <row r="340">
      <c r="A340" s="4">
        <f>A339+1</f>
        <v/>
      </c>
      <c r="B340" s="4">
        <f>B339+$B$6</f>
        <v/>
      </c>
      <c r="C340" s="4">
        <f>C339+($B$6/2)*(D339+F339)</f>
        <v/>
      </c>
      <c r="D340" s="4">
        <f>$B$3*C340^(3/4)*(1-(C340/$B$4)^(1/4))</f>
        <v/>
      </c>
      <c r="E340" s="4">
        <f>C340+$B$6*D340</f>
        <v/>
      </c>
      <c r="F340" s="4">
        <f>$B$3*E340^(3/4)*(1-(E340/$B$4)^(1/4))</f>
        <v/>
      </c>
      <c r="G340" s="4">
        <f>( $B$8 + ($B$9-$B$8)*EXP(-$B$3*B340/(4*$B$8)) )^4</f>
        <v/>
      </c>
      <c r="H340" s="4">
        <f>ABS(C340-G340)</f>
        <v/>
      </c>
    </row>
    <row r="341">
      <c r="A341" s="4">
        <f>A340+1</f>
        <v/>
      </c>
      <c r="B341" s="4">
        <f>B340+$B$6</f>
        <v/>
      </c>
      <c r="C341" s="4">
        <f>C340+($B$6/2)*(D340+F340)</f>
        <v/>
      </c>
      <c r="D341" s="4">
        <f>$B$3*C341^(3/4)*(1-(C341/$B$4)^(1/4))</f>
        <v/>
      </c>
      <c r="E341" s="4">
        <f>C341+$B$6*D341</f>
        <v/>
      </c>
      <c r="F341" s="4">
        <f>$B$3*E341^(3/4)*(1-(E341/$B$4)^(1/4))</f>
        <v/>
      </c>
      <c r="G341" s="4">
        <f>( $B$8 + ($B$9-$B$8)*EXP(-$B$3*B341/(4*$B$8)) )^4</f>
        <v/>
      </c>
      <c r="H341" s="4">
        <f>ABS(C341-G341)</f>
        <v/>
      </c>
    </row>
    <row r="342">
      <c r="A342" s="4">
        <f>A341+1</f>
        <v/>
      </c>
      <c r="B342" s="4">
        <f>B341+$B$6</f>
        <v/>
      </c>
      <c r="C342" s="4">
        <f>C341+($B$6/2)*(D341+F341)</f>
        <v/>
      </c>
      <c r="D342" s="4">
        <f>$B$3*C342^(3/4)*(1-(C342/$B$4)^(1/4))</f>
        <v/>
      </c>
      <c r="E342" s="4">
        <f>C342+$B$6*D342</f>
        <v/>
      </c>
      <c r="F342" s="4">
        <f>$B$3*E342^(3/4)*(1-(E342/$B$4)^(1/4))</f>
        <v/>
      </c>
      <c r="G342" s="4">
        <f>( $B$8 + ($B$9-$B$8)*EXP(-$B$3*B342/(4*$B$8)) )^4</f>
        <v/>
      </c>
      <c r="H342" s="4">
        <f>ABS(C342-G342)</f>
        <v/>
      </c>
    </row>
    <row r="343">
      <c r="A343" s="4">
        <f>A342+1</f>
        <v/>
      </c>
      <c r="B343" s="4">
        <f>B342+$B$6</f>
        <v/>
      </c>
      <c r="C343" s="4">
        <f>C342+($B$6/2)*(D342+F342)</f>
        <v/>
      </c>
      <c r="D343" s="4">
        <f>$B$3*C343^(3/4)*(1-(C343/$B$4)^(1/4))</f>
        <v/>
      </c>
      <c r="E343" s="4">
        <f>C343+$B$6*D343</f>
        <v/>
      </c>
      <c r="F343" s="4">
        <f>$B$3*E343^(3/4)*(1-(E343/$B$4)^(1/4))</f>
        <v/>
      </c>
      <c r="G343" s="4">
        <f>( $B$8 + ($B$9-$B$8)*EXP(-$B$3*B343/(4*$B$8)) )^4</f>
        <v/>
      </c>
      <c r="H343" s="4">
        <f>ABS(C343-G343)</f>
        <v/>
      </c>
    </row>
    <row r="344">
      <c r="A344" s="4">
        <f>A343+1</f>
        <v/>
      </c>
      <c r="B344" s="4">
        <f>B343+$B$6</f>
        <v/>
      </c>
      <c r="C344" s="4">
        <f>C343+($B$6/2)*(D343+F343)</f>
        <v/>
      </c>
      <c r="D344" s="4">
        <f>$B$3*C344^(3/4)*(1-(C344/$B$4)^(1/4))</f>
        <v/>
      </c>
      <c r="E344" s="4">
        <f>C344+$B$6*D344</f>
        <v/>
      </c>
      <c r="F344" s="4">
        <f>$B$3*E344^(3/4)*(1-(E344/$B$4)^(1/4))</f>
        <v/>
      </c>
      <c r="G344" s="4">
        <f>( $B$8 + ($B$9-$B$8)*EXP(-$B$3*B344/(4*$B$8)) )^4</f>
        <v/>
      </c>
      <c r="H344" s="4">
        <f>ABS(C344-G344)</f>
        <v/>
      </c>
    </row>
    <row r="345">
      <c r="A345" s="4">
        <f>A344+1</f>
        <v/>
      </c>
      <c r="B345" s="4">
        <f>B344+$B$6</f>
        <v/>
      </c>
      <c r="C345" s="4">
        <f>C344+($B$6/2)*(D344+F344)</f>
        <v/>
      </c>
      <c r="D345" s="4">
        <f>$B$3*C345^(3/4)*(1-(C345/$B$4)^(1/4))</f>
        <v/>
      </c>
      <c r="E345" s="4">
        <f>C345+$B$6*D345</f>
        <v/>
      </c>
      <c r="F345" s="4">
        <f>$B$3*E345^(3/4)*(1-(E345/$B$4)^(1/4))</f>
        <v/>
      </c>
      <c r="G345" s="4">
        <f>( $B$8 + ($B$9-$B$8)*EXP(-$B$3*B345/(4*$B$8)) )^4</f>
        <v/>
      </c>
      <c r="H345" s="4">
        <f>ABS(C345-G345)</f>
        <v/>
      </c>
    </row>
    <row r="346">
      <c r="A346" s="4">
        <f>A345+1</f>
        <v/>
      </c>
      <c r="B346" s="4">
        <f>B345+$B$6</f>
        <v/>
      </c>
      <c r="C346" s="4">
        <f>C345+($B$6/2)*(D345+F345)</f>
        <v/>
      </c>
      <c r="D346" s="4">
        <f>$B$3*C346^(3/4)*(1-(C346/$B$4)^(1/4))</f>
        <v/>
      </c>
      <c r="E346" s="4">
        <f>C346+$B$6*D346</f>
        <v/>
      </c>
      <c r="F346" s="4">
        <f>$B$3*E346^(3/4)*(1-(E346/$B$4)^(1/4))</f>
        <v/>
      </c>
      <c r="G346" s="4">
        <f>( $B$8 + ($B$9-$B$8)*EXP(-$B$3*B346/(4*$B$8)) )^4</f>
        <v/>
      </c>
      <c r="H346" s="4">
        <f>ABS(C346-G346)</f>
        <v/>
      </c>
    </row>
    <row r="347">
      <c r="A347" s="4">
        <f>A346+1</f>
        <v/>
      </c>
      <c r="B347" s="4">
        <f>B346+$B$6</f>
        <v/>
      </c>
      <c r="C347" s="4">
        <f>C346+($B$6/2)*(D346+F346)</f>
        <v/>
      </c>
      <c r="D347" s="4">
        <f>$B$3*C347^(3/4)*(1-(C347/$B$4)^(1/4))</f>
        <v/>
      </c>
      <c r="E347" s="4">
        <f>C347+$B$6*D347</f>
        <v/>
      </c>
      <c r="F347" s="4">
        <f>$B$3*E347^(3/4)*(1-(E347/$B$4)^(1/4))</f>
        <v/>
      </c>
      <c r="G347" s="4">
        <f>( $B$8 + ($B$9-$B$8)*EXP(-$B$3*B347/(4*$B$8)) )^4</f>
        <v/>
      </c>
      <c r="H347" s="4">
        <f>ABS(C347-G347)</f>
        <v/>
      </c>
    </row>
    <row r="348">
      <c r="A348" s="4">
        <f>A347+1</f>
        <v/>
      </c>
      <c r="B348" s="4">
        <f>B347+$B$6</f>
        <v/>
      </c>
      <c r="C348" s="4">
        <f>C347+($B$6/2)*(D347+F347)</f>
        <v/>
      </c>
      <c r="D348" s="4">
        <f>$B$3*C348^(3/4)*(1-(C348/$B$4)^(1/4))</f>
        <v/>
      </c>
      <c r="E348" s="4">
        <f>C348+$B$6*D348</f>
        <v/>
      </c>
      <c r="F348" s="4">
        <f>$B$3*E348^(3/4)*(1-(E348/$B$4)^(1/4))</f>
        <v/>
      </c>
      <c r="G348" s="4">
        <f>( $B$8 + ($B$9-$B$8)*EXP(-$B$3*B348/(4*$B$8)) )^4</f>
        <v/>
      </c>
      <c r="H348" s="4">
        <f>ABS(C348-G348)</f>
        <v/>
      </c>
    </row>
    <row r="349">
      <c r="A349" s="4">
        <f>A348+1</f>
        <v/>
      </c>
      <c r="B349" s="4">
        <f>B348+$B$6</f>
        <v/>
      </c>
      <c r="C349" s="4">
        <f>C348+($B$6/2)*(D348+F348)</f>
        <v/>
      </c>
      <c r="D349" s="4">
        <f>$B$3*C349^(3/4)*(1-(C349/$B$4)^(1/4))</f>
        <v/>
      </c>
      <c r="E349" s="4">
        <f>C349+$B$6*D349</f>
        <v/>
      </c>
      <c r="F349" s="4">
        <f>$B$3*E349^(3/4)*(1-(E349/$B$4)^(1/4))</f>
        <v/>
      </c>
      <c r="G349" s="4">
        <f>( $B$8 + ($B$9-$B$8)*EXP(-$B$3*B349/(4*$B$8)) )^4</f>
        <v/>
      </c>
      <c r="H349" s="4">
        <f>ABS(C349-G349)</f>
        <v/>
      </c>
    </row>
    <row r="350">
      <c r="A350" s="4">
        <f>A349+1</f>
        <v/>
      </c>
      <c r="B350" s="4">
        <f>B349+$B$6</f>
        <v/>
      </c>
      <c r="C350" s="4">
        <f>C349+($B$6/2)*(D349+F349)</f>
        <v/>
      </c>
      <c r="D350" s="4">
        <f>$B$3*C350^(3/4)*(1-(C350/$B$4)^(1/4))</f>
        <v/>
      </c>
      <c r="E350" s="4">
        <f>C350+$B$6*D350</f>
        <v/>
      </c>
      <c r="F350" s="4">
        <f>$B$3*E350^(3/4)*(1-(E350/$B$4)^(1/4))</f>
        <v/>
      </c>
      <c r="G350" s="4">
        <f>( $B$8 + ($B$9-$B$8)*EXP(-$B$3*B350/(4*$B$8)) )^4</f>
        <v/>
      </c>
      <c r="H350" s="4">
        <f>ABS(C350-G350)</f>
        <v/>
      </c>
    </row>
    <row r="351">
      <c r="A351" s="4">
        <f>A350+1</f>
        <v/>
      </c>
      <c r="B351" s="4">
        <f>B350+$B$6</f>
        <v/>
      </c>
      <c r="C351" s="4">
        <f>C350+($B$6/2)*(D350+F350)</f>
        <v/>
      </c>
      <c r="D351" s="4">
        <f>$B$3*C351^(3/4)*(1-(C351/$B$4)^(1/4))</f>
        <v/>
      </c>
      <c r="E351" s="4">
        <f>C351+$B$6*D351</f>
        <v/>
      </c>
      <c r="F351" s="4">
        <f>$B$3*E351^(3/4)*(1-(E351/$B$4)^(1/4))</f>
        <v/>
      </c>
      <c r="G351" s="4">
        <f>( $B$8 + ($B$9-$B$8)*EXP(-$B$3*B351/(4*$B$8)) )^4</f>
        <v/>
      </c>
      <c r="H351" s="4">
        <f>ABS(C351-G351)</f>
        <v/>
      </c>
    </row>
    <row r="352">
      <c r="A352" s="4">
        <f>A351+1</f>
        <v/>
      </c>
      <c r="B352" s="4">
        <f>B351+$B$6</f>
        <v/>
      </c>
      <c r="C352" s="4">
        <f>C351+($B$6/2)*(D351+F351)</f>
        <v/>
      </c>
      <c r="D352" s="4">
        <f>$B$3*C352^(3/4)*(1-(C352/$B$4)^(1/4))</f>
        <v/>
      </c>
      <c r="E352" s="4">
        <f>C352+$B$6*D352</f>
        <v/>
      </c>
      <c r="F352" s="4">
        <f>$B$3*E352^(3/4)*(1-(E352/$B$4)^(1/4))</f>
        <v/>
      </c>
      <c r="G352" s="4">
        <f>( $B$8 + ($B$9-$B$8)*EXP(-$B$3*B352/(4*$B$8)) )^4</f>
        <v/>
      </c>
      <c r="H352" s="4">
        <f>ABS(C352-G352)</f>
        <v/>
      </c>
    </row>
    <row r="353">
      <c r="A353" s="4">
        <f>A352+1</f>
        <v/>
      </c>
      <c r="B353" s="4">
        <f>B352+$B$6</f>
        <v/>
      </c>
      <c r="C353" s="4">
        <f>C352+($B$6/2)*(D352+F352)</f>
        <v/>
      </c>
      <c r="D353" s="4">
        <f>$B$3*C353^(3/4)*(1-(C353/$B$4)^(1/4))</f>
        <v/>
      </c>
      <c r="E353" s="4">
        <f>C353+$B$6*D353</f>
        <v/>
      </c>
      <c r="F353" s="4">
        <f>$B$3*E353^(3/4)*(1-(E353/$B$4)^(1/4))</f>
        <v/>
      </c>
      <c r="G353" s="4">
        <f>( $B$8 + ($B$9-$B$8)*EXP(-$B$3*B353/(4*$B$8)) )^4</f>
        <v/>
      </c>
      <c r="H353" s="4">
        <f>ABS(C353-G353)</f>
        <v/>
      </c>
    </row>
    <row r="354">
      <c r="A354" s="4">
        <f>A353+1</f>
        <v/>
      </c>
      <c r="B354" s="4">
        <f>B353+$B$6</f>
        <v/>
      </c>
      <c r="C354" s="4">
        <f>C353+($B$6/2)*(D353+F353)</f>
        <v/>
      </c>
      <c r="D354" s="4">
        <f>$B$3*C354^(3/4)*(1-(C354/$B$4)^(1/4))</f>
        <v/>
      </c>
      <c r="E354" s="4">
        <f>C354+$B$6*D354</f>
        <v/>
      </c>
      <c r="F354" s="4">
        <f>$B$3*E354^(3/4)*(1-(E354/$B$4)^(1/4))</f>
        <v/>
      </c>
      <c r="G354" s="4">
        <f>( $B$8 + ($B$9-$B$8)*EXP(-$B$3*B354/(4*$B$8)) )^4</f>
        <v/>
      </c>
      <c r="H354" s="4">
        <f>ABS(C354-G354)</f>
        <v/>
      </c>
    </row>
    <row r="355">
      <c r="A355" s="4">
        <f>A354+1</f>
        <v/>
      </c>
      <c r="B355" s="4">
        <f>B354+$B$6</f>
        <v/>
      </c>
      <c r="C355" s="4">
        <f>C354+($B$6/2)*(D354+F354)</f>
        <v/>
      </c>
      <c r="D355" s="4">
        <f>$B$3*C355^(3/4)*(1-(C355/$B$4)^(1/4))</f>
        <v/>
      </c>
      <c r="E355" s="4">
        <f>C355+$B$6*D355</f>
        <v/>
      </c>
      <c r="F355" s="4">
        <f>$B$3*E355^(3/4)*(1-(E355/$B$4)^(1/4))</f>
        <v/>
      </c>
      <c r="G355" s="4">
        <f>( $B$8 + ($B$9-$B$8)*EXP(-$B$3*B355/(4*$B$8)) )^4</f>
        <v/>
      </c>
      <c r="H355" s="4">
        <f>ABS(C355-G355)</f>
        <v/>
      </c>
    </row>
    <row r="356">
      <c r="A356" s="4">
        <f>A355+1</f>
        <v/>
      </c>
      <c r="B356" s="4">
        <f>B355+$B$6</f>
        <v/>
      </c>
      <c r="C356" s="4">
        <f>C355+($B$6/2)*(D355+F355)</f>
        <v/>
      </c>
      <c r="D356" s="4">
        <f>$B$3*C356^(3/4)*(1-(C356/$B$4)^(1/4))</f>
        <v/>
      </c>
      <c r="E356" s="4">
        <f>C356+$B$6*D356</f>
        <v/>
      </c>
      <c r="F356" s="4">
        <f>$B$3*E356^(3/4)*(1-(E356/$B$4)^(1/4))</f>
        <v/>
      </c>
      <c r="G356" s="4">
        <f>( $B$8 + ($B$9-$B$8)*EXP(-$B$3*B356/(4*$B$8)) )^4</f>
        <v/>
      </c>
      <c r="H356" s="4">
        <f>ABS(C356-G356)</f>
        <v/>
      </c>
    </row>
    <row r="357">
      <c r="A357" s="4">
        <f>A356+1</f>
        <v/>
      </c>
      <c r="B357" s="4">
        <f>B356+$B$6</f>
        <v/>
      </c>
      <c r="C357" s="4">
        <f>C356+($B$6/2)*(D356+F356)</f>
        <v/>
      </c>
      <c r="D357" s="4">
        <f>$B$3*C357^(3/4)*(1-(C357/$B$4)^(1/4))</f>
        <v/>
      </c>
      <c r="E357" s="4">
        <f>C357+$B$6*D357</f>
        <v/>
      </c>
      <c r="F357" s="4">
        <f>$B$3*E357^(3/4)*(1-(E357/$B$4)^(1/4))</f>
        <v/>
      </c>
      <c r="G357" s="4">
        <f>( $B$8 + ($B$9-$B$8)*EXP(-$B$3*B357/(4*$B$8)) )^4</f>
        <v/>
      </c>
      <c r="H357" s="4">
        <f>ABS(C357-G357)</f>
        <v/>
      </c>
    </row>
    <row r="358">
      <c r="A358" s="4">
        <f>A357+1</f>
        <v/>
      </c>
      <c r="B358" s="4">
        <f>B357+$B$6</f>
        <v/>
      </c>
      <c r="C358" s="4">
        <f>C357+($B$6/2)*(D357+F357)</f>
        <v/>
      </c>
      <c r="D358" s="4">
        <f>$B$3*C358^(3/4)*(1-(C358/$B$4)^(1/4))</f>
        <v/>
      </c>
      <c r="E358" s="4">
        <f>C358+$B$6*D358</f>
        <v/>
      </c>
      <c r="F358" s="4">
        <f>$B$3*E358^(3/4)*(1-(E358/$B$4)^(1/4))</f>
        <v/>
      </c>
      <c r="G358" s="4">
        <f>( $B$8 + ($B$9-$B$8)*EXP(-$B$3*B358/(4*$B$8)) )^4</f>
        <v/>
      </c>
      <c r="H358" s="4">
        <f>ABS(C358-G358)</f>
        <v/>
      </c>
    </row>
    <row r="359">
      <c r="A359" s="4">
        <f>A358+1</f>
        <v/>
      </c>
      <c r="B359" s="4">
        <f>B358+$B$6</f>
        <v/>
      </c>
      <c r="C359" s="4">
        <f>C358+($B$6/2)*(D358+F358)</f>
        <v/>
      </c>
      <c r="D359" s="4">
        <f>$B$3*C359^(3/4)*(1-(C359/$B$4)^(1/4))</f>
        <v/>
      </c>
      <c r="E359" s="4">
        <f>C359+$B$6*D359</f>
        <v/>
      </c>
      <c r="F359" s="4">
        <f>$B$3*E359^(3/4)*(1-(E359/$B$4)^(1/4))</f>
        <v/>
      </c>
      <c r="G359" s="4">
        <f>( $B$8 + ($B$9-$B$8)*EXP(-$B$3*B359/(4*$B$8)) )^4</f>
        <v/>
      </c>
      <c r="H359" s="4">
        <f>ABS(C359-G359)</f>
        <v/>
      </c>
    </row>
    <row r="360">
      <c r="A360" s="4">
        <f>A359+1</f>
        <v/>
      </c>
      <c r="B360" s="4">
        <f>B359+$B$6</f>
        <v/>
      </c>
      <c r="C360" s="4">
        <f>C359+($B$6/2)*(D359+F359)</f>
        <v/>
      </c>
      <c r="D360" s="4">
        <f>$B$3*C360^(3/4)*(1-(C360/$B$4)^(1/4))</f>
        <v/>
      </c>
      <c r="E360" s="4">
        <f>C360+$B$6*D360</f>
        <v/>
      </c>
      <c r="F360" s="4">
        <f>$B$3*E360^(3/4)*(1-(E360/$B$4)^(1/4))</f>
        <v/>
      </c>
      <c r="G360" s="4">
        <f>( $B$8 + ($B$9-$B$8)*EXP(-$B$3*B360/(4*$B$8)) )^4</f>
        <v/>
      </c>
      <c r="H360" s="4">
        <f>ABS(C360-G360)</f>
        <v/>
      </c>
    </row>
    <row r="361">
      <c r="A361" s="4">
        <f>A360+1</f>
        <v/>
      </c>
      <c r="B361" s="4">
        <f>B360+$B$6</f>
        <v/>
      </c>
      <c r="C361" s="4">
        <f>C360+($B$6/2)*(D360+F360)</f>
        <v/>
      </c>
      <c r="D361" s="4">
        <f>$B$3*C361^(3/4)*(1-(C361/$B$4)^(1/4))</f>
        <v/>
      </c>
      <c r="E361" s="4">
        <f>C361+$B$6*D361</f>
        <v/>
      </c>
      <c r="F361" s="4">
        <f>$B$3*E361^(3/4)*(1-(E361/$B$4)^(1/4))</f>
        <v/>
      </c>
      <c r="G361" s="4">
        <f>( $B$8 + ($B$9-$B$8)*EXP(-$B$3*B361/(4*$B$8)) )^4</f>
        <v/>
      </c>
      <c r="H361" s="4">
        <f>ABS(C361-G361)</f>
        <v/>
      </c>
    </row>
    <row r="362">
      <c r="A362" s="4">
        <f>A361+1</f>
        <v/>
      </c>
      <c r="B362" s="4">
        <f>B361+$B$6</f>
        <v/>
      </c>
      <c r="C362" s="4">
        <f>C361+($B$6/2)*(D361+F361)</f>
        <v/>
      </c>
      <c r="D362" s="4">
        <f>$B$3*C362^(3/4)*(1-(C362/$B$4)^(1/4))</f>
        <v/>
      </c>
      <c r="E362" s="4">
        <f>C362+$B$6*D362</f>
        <v/>
      </c>
      <c r="F362" s="4">
        <f>$B$3*E362^(3/4)*(1-(E362/$B$4)^(1/4))</f>
        <v/>
      </c>
      <c r="G362" s="4">
        <f>( $B$8 + ($B$9-$B$8)*EXP(-$B$3*B362/(4*$B$8)) )^4</f>
        <v/>
      </c>
      <c r="H362" s="4">
        <f>ABS(C362-G362)</f>
        <v/>
      </c>
    </row>
    <row r="363">
      <c r="A363" s="4">
        <f>A362+1</f>
        <v/>
      </c>
      <c r="B363" s="4">
        <f>B362+$B$6</f>
        <v/>
      </c>
      <c r="C363" s="4">
        <f>C362+($B$6/2)*(D362+F362)</f>
        <v/>
      </c>
      <c r="D363" s="4">
        <f>$B$3*C363^(3/4)*(1-(C363/$B$4)^(1/4))</f>
        <v/>
      </c>
      <c r="E363" s="4">
        <f>C363+$B$6*D363</f>
        <v/>
      </c>
      <c r="F363" s="4">
        <f>$B$3*E363^(3/4)*(1-(E363/$B$4)^(1/4))</f>
        <v/>
      </c>
      <c r="G363" s="4">
        <f>( $B$8 + ($B$9-$B$8)*EXP(-$B$3*B363/(4*$B$8)) )^4</f>
        <v/>
      </c>
      <c r="H363" s="4">
        <f>ABS(C363-G363)</f>
        <v/>
      </c>
    </row>
    <row r="364">
      <c r="A364" s="4">
        <f>A363+1</f>
        <v/>
      </c>
      <c r="B364" s="4">
        <f>B363+$B$6</f>
        <v/>
      </c>
      <c r="C364" s="4">
        <f>C363+($B$6/2)*(D363+F363)</f>
        <v/>
      </c>
      <c r="D364" s="4">
        <f>$B$3*C364^(3/4)*(1-(C364/$B$4)^(1/4))</f>
        <v/>
      </c>
      <c r="E364" s="4">
        <f>C364+$B$6*D364</f>
        <v/>
      </c>
      <c r="F364" s="4">
        <f>$B$3*E364^(3/4)*(1-(E364/$B$4)^(1/4))</f>
        <v/>
      </c>
      <c r="G364" s="4">
        <f>( $B$8 + ($B$9-$B$8)*EXP(-$B$3*B364/(4*$B$8)) )^4</f>
        <v/>
      </c>
      <c r="H364" s="4">
        <f>ABS(C364-G364)</f>
        <v/>
      </c>
    </row>
    <row r="365">
      <c r="A365" s="4">
        <f>A364+1</f>
        <v/>
      </c>
      <c r="B365" s="4">
        <f>B364+$B$6</f>
        <v/>
      </c>
      <c r="C365" s="4">
        <f>C364+($B$6/2)*(D364+F364)</f>
        <v/>
      </c>
      <c r="D365" s="4">
        <f>$B$3*C365^(3/4)*(1-(C365/$B$4)^(1/4))</f>
        <v/>
      </c>
      <c r="E365" s="4">
        <f>C365+$B$6*D365</f>
        <v/>
      </c>
      <c r="F365" s="4">
        <f>$B$3*E365^(3/4)*(1-(E365/$B$4)^(1/4))</f>
        <v/>
      </c>
      <c r="G365" s="4">
        <f>( $B$8 + ($B$9-$B$8)*EXP(-$B$3*B365/(4*$B$8)) )^4</f>
        <v/>
      </c>
      <c r="H365" s="4">
        <f>ABS(C365-G365)</f>
        <v/>
      </c>
    </row>
    <row r="366">
      <c r="A366" s="4">
        <f>A365+1</f>
        <v/>
      </c>
      <c r="B366" s="4">
        <f>B365+$B$6</f>
        <v/>
      </c>
      <c r="C366" s="4">
        <f>C365+($B$6/2)*(D365+F365)</f>
        <v/>
      </c>
      <c r="D366" s="4">
        <f>$B$3*C366^(3/4)*(1-(C366/$B$4)^(1/4))</f>
        <v/>
      </c>
      <c r="E366" s="4">
        <f>C366+$B$6*D366</f>
        <v/>
      </c>
      <c r="F366" s="4">
        <f>$B$3*E366^(3/4)*(1-(E366/$B$4)^(1/4))</f>
        <v/>
      </c>
      <c r="G366" s="4">
        <f>( $B$8 + ($B$9-$B$8)*EXP(-$B$3*B366/(4*$B$8)) )^4</f>
        <v/>
      </c>
      <c r="H366" s="4">
        <f>ABS(C366-G366)</f>
        <v/>
      </c>
    </row>
    <row r="367">
      <c r="A367" s="4">
        <f>A366+1</f>
        <v/>
      </c>
      <c r="B367" s="4">
        <f>B366+$B$6</f>
        <v/>
      </c>
      <c r="C367" s="4">
        <f>C366+($B$6/2)*(D366+F366)</f>
        <v/>
      </c>
      <c r="D367" s="4">
        <f>$B$3*C367^(3/4)*(1-(C367/$B$4)^(1/4))</f>
        <v/>
      </c>
      <c r="E367" s="4">
        <f>C367+$B$6*D367</f>
        <v/>
      </c>
      <c r="F367" s="4">
        <f>$B$3*E367^(3/4)*(1-(E367/$B$4)^(1/4))</f>
        <v/>
      </c>
      <c r="G367" s="4">
        <f>( $B$8 + ($B$9-$B$8)*EXP(-$B$3*B367/(4*$B$8)) )^4</f>
        <v/>
      </c>
      <c r="H367" s="4">
        <f>ABS(C367-G367)</f>
        <v/>
      </c>
    </row>
    <row r="368">
      <c r="A368" s="4">
        <f>A367+1</f>
        <v/>
      </c>
      <c r="B368" s="4">
        <f>B367+$B$6</f>
        <v/>
      </c>
      <c r="C368" s="4">
        <f>C367+($B$6/2)*(D367+F367)</f>
        <v/>
      </c>
      <c r="D368" s="4">
        <f>$B$3*C368^(3/4)*(1-(C368/$B$4)^(1/4))</f>
        <v/>
      </c>
      <c r="E368" s="4">
        <f>C368+$B$6*D368</f>
        <v/>
      </c>
      <c r="F368" s="4">
        <f>$B$3*E368^(3/4)*(1-(E368/$B$4)^(1/4))</f>
        <v/>
      </c>
      <c r="G368" s="4">
        <f>( $B$8 + ($B$9-$B$8)*EXP(-$B$3*B368/(4*$B$8)) )^4</f>
        <v/>
      </c>
      <c r="H368" s="4">
        <f>ABS(C368-G368)</f>
        <v/>
      </c>
    </row>
    <row r="369">
      <c r="A369" s="4">
        <f>A368+1</f>
        <v/>
      </c>
      <c r="B369" s="4">
        <f>B368+$B$6</f>
        <v/>
      </c>
      <c r="C369" s="4">
        <f>C368+($B$6/2)*(D368+F368)</f>
        <v/>
      </c>
      <c r="D369" s="4">
        <f>$B$3*C369^(3/4)*(1-(C369/$B$4)^(1/4))</f>
        <v/>
      </c>
      <c r="E369" s="4">
        <f>C369+$B$6*D369</f>
        <v/>
      </c>
      <c r="F369" s="4">
        <f>$B$3*E369^(3/4)*(1-(E369/$B$4)^(1/4))</f>
        <v/>
      </c>
      <c r="G369" s="4">
        <f>( $B$8 + ($B$9-$B$8)*EXP(-$B$3*B369/(4*$B$8)) )^4</f>
        <v/>
      </c>
      <c r="H369" s="4">
        <f>ABS(C369-G369)</f>
        <v/>
      </c>
    </row>
    <row r="370">
      <c r="A370" s="4">
        <f>A369+1</f>
        <v/>
      </c>
      <c r="B370" s="4">
        <f>B369+$B$6</f>
        <v/>
      </c>
      <c r="C370" s="4">
        <f>C369+($B$6/2)*(D369+F369)</f>
        <v/>
      </c>
      <c r="D370" s="4">
        <f>$B$3*C370^(3/4)*(1-(C370/$B$4)^(1/4))</f>
        <v/>
      </c>
      <c r="E370" s="4">
        <f>C370+$B$6*D370</f>
        <v/>
      </c>
      <c r="F370" s="4">
        <f>$B$3*E370^(3/4)*(1-(E370/$B$4)^(1/4))</f>
        <v/>
      </c>
      <c r="G370" s="4">
        <f>( $B$8 + ($B$9-$B$8)*EXP(-$B$3*B370/(4*$B$8)) )^4</f>
        <v/>
      </c>
      <c r="H370" s="4">
        <f>ABS(C370-G370)</f>
        <v/>
      </c>
    </row>
    <row r="371">
      <c r="A371" s="4">
        <f>A370+1</f>
        <v/>
      </c>
      <c r="B371" s="4">
        <f>B370+$B$6</f>
        <v/>
      </c>
      <c r="C371" s="4">
        <f>C370+($B$6/2)*(D370+F370)</f>
        <v/>
      </c>
      <c r="D371" s="4">
        <f>$B$3*C371^(3/4)*(1-(C371/$B$4)^(1/4))</f>
        <v/>
      </c>
      <c r="E371" s="4">
        <f>C371+$B$6*D371</f>
        <v/>
      </c>
      <c r="F371" s="4">
        <f>$B$3*E371^(3/4)*(1-(E371/$B$4)^(1/4))</f>
        <v/>
      </c>
      <c r="G371" s="4">
        <f>( $B$8 + ($B$9-$B$8)*EXP(-$B$3*B371/(4*$B$8)) )^4</f>
        <v/>
      </c>
      <c r="H371" s="4">
        <f>ABS(C371-G371)</f>
        <v/>
      </c>
    </row>
    <row r="372">
      <c r="A372" s="4">
        <f>A371+1</f>
        <v/>
      </c>
      <c r="B372" s="4">
        <f>B371+$B$6</f>
        <v/>
      </c>
      <c r="C372" s="4">
        <f>C371+($B$6/2)*(D371+F371)</f>
        <v/>
      </c>
      <c r="D372" s="4">
        <f>$B$3*C372^(3/4)*(1-(C372/$B$4)^(1/4))</f>
        <v/>
      </c>
      <c r="E372" s="4">
        <f>C372+$B$6*D372</f>
        <v/>
      </c>
      <c r="F372" s="4">
        <f>$B$3*E372^(3/4)*(1-(E372/$B$4)^(1/4))</f>
        <v/>
      </c>
      <c r="G372" s="4">
        <f>( $B$8 + ($B$9-$B$8)*EXP(-$B$3*B372/(4*$B$8)) )^4</f>
        <v/>
      </c>
      <c r="H372" s="4">
        <f>ABS(C372-G372)</f>
        <v/>
      </c>
    </row>
    <row r="373">
      <c r="A373" s="4">
        <f>A372+1</f>
        <v/>
      </c>
      <c r="B373" s="4">
        <f>B372+$B$6</f>
        <v/>
      </c>
      <c r="C373" s="4">
        <f>C372+($B$6/2)*(D372+F372)</f>
        <v/>
      </c>
      <c r="D373" s="4">
        <f>$B$3*C373^(3/4)*(1-(C373/$B$4)^(1/4))</f>
        <v/>
      </c>
      <c r="E373" s="4">
        <f>C373+$B$6*D373</f>
        <v/>
      </c>
      <c r="F373" s="4">
        <f>$B$3*E373^(3/4)*(1-(E373/$B$4)^(1/4))</f>
        <v/>
      </c>
      <c r="G373" s="4">
        <f>( $B$8 + ($B$9-$B$8)*EXP(-$B$3*B373/(4*$B$8)) )^4</f>
        <v/>
      </c>
      <c r="H373" s="4">
        <f>ABS(C373-G373)</f>
        <v/>
      </c>
    </row>
    <row r="374">
      <c r="A374" s="4">
        <f>A373+1</f>
        <v/>
      </c>
      <c r="B374" s="4">
        <f>B373+$B$6</f>
        <v/>
      </c>
      <c r="C374" s="4">
        <f>C373+($B$6/2)*(D373+F373)</f>
        <v/>
      </c>
      <c r="D374" s="4">
        <f>$B$3*C374^(3/4)*(1-(C374/$B$4)^(1/4))</f>
        <v/>
      </c>
      <c r="E374" s="4">
        <f>C374+$B$6*D374</f>
        <v/>
      </c>
      <c r="F374" s="4">
        <f>$B$3*E374^(3/4)*(1-(E374/$B$4)^(1/4))</f>
        <v/>
      </c>
      <c r="G374" s="4">
        <f>( $B$8 + ($B$9-$B$8)*EXP(-$B$3*B374/(4*$B$8)) )^4</f>
        <v/>
      </c>
      <c r="H374" s="4">
        <f>ABS(C374-G374)</f>
        <v/>
      </c>
    </row>
    <row r="375">
      <c r="A375" s="4">
        <f>A374+1</f>
        <v/>
      </c>
      <c r="B375" s="4">
        <f>B374+$B$6</f>
        <v/>
      </c>
      <c r="C375" s="4">
        <f>C374+($B$6/2)*(D374+F374)</f>
        <v/>
      </c>
      <c r="D375" s="4">
        <f>$B$3*C375^(3/4)*(1-(C375/$B$4)^(1/4))</f>
        <v/>
      </c>
      <c r="E375" s="4">
        <f>C375+$B$6*D375</f>
        <v/>
      </c>
      <c r="F375" s="4">
        <f>$B$3*E375^(3/4)*(1-(E375/$B$4)^(1/4))</f>
        <v/>
      </c>
      <c r="G375" s="4">
        <f>( $B$8 + ($B$9-$B$8)*EXP(-$B$3*B375/(4*$B$8)) )^4</f>
        <v/>
      </c>
      <c r="H375" s="4">
        <f>ABS(C375-G375)</f>
        <v/>
      </c>
    </row>
    <row r="376">
      <c r="A376" s="4">
        <f>A375+1</f>
        <v/>
      </c>
      <c r="B376" s="4">
        <f>B375+$B$6</f>
        <v/>
      </c>
      <c r="C376" s="4">
        <f>C375+($B$6/2)*(D375+F375)</f>
        <v/>
      </c>
      <c r="D376" s="4">
        <f>$B$3*C376^(3/4)*(1-(C376/$B$4)^(1/4))</f>
        <v/>
      </c>
      <c r="E376" s="4">
        <f>C376+$B$6*D376</f>
        <v/>
      </c>
      <c r="F376" s="4">
        <f>$B$3*E376^(3/4)*(1-(E376/$B$4)^(1/4))</f>
        <v/>
      </c>
      <c r="G376" s="4">
        <f>( $B$8 + ($B$9-$B$8)*EXP(-$B$3*B376/(4*$B$8)) )^4</f>
        <v/>
      </c>
      <c r="H376" s="4">
        <f>ABS(C376-G376)</f>
        <v/>
      </c>
    </row>
    <row r="377">
      <c r="A377" s="4">
        <f>A376+1</f>
        <v/>
      </c>
      <c r="B377" s="4">
        <f>B376+$B$6</f>
        <v/>
      </c>
      <c r="C377" s="4">
        <f>C376+($B$6/2)*(D376+F376)</f>
        <v/>
      </c>
      <c r="D377" s="4">
        <f>$B$3*C377^(3/4)*(1-(C377/$B$4)^(1/4))</f>
        <v/>
      </c>
      <c r="E377" s="4">
        <f>C377+$B$6*D377</f>
        <v/>
      </c>
      <c r="F377" s="4">
        <f>$B$3*E377^(3/4)*(1-(E377/$B$4)^(1/4))</f>
        <v/>
      </c>
      <c r="G377" s="4">
        <f>( $B$8 + ($B$9-$B$8)*EXP(-$B$3*B377/(4*$B$8)) )^4</f>
        <v/>
      </c>
      <c r="H377" s="4">
        <f>ABS(C377-G377)</f>
        <v/>
      </c>
    </row>
    <row r="378">
      <c r="A378" s="4">
        <f>A377+1</f>
        <v/>
      </c>
      <c r="B378" s="4">
        <f>B377+$B$6</f>
        <v/>
      </c>
      <c r="C378" s="4">
        <f>C377+($B$6/2)*(D377+F377)</f>
        <v/>
      </c>
      <c r="D378" s="4">
        <f>$B$3*C378^(3/4)*(1-(C378/$B$4)^(1/4))</f>
        <v/>
      </c>
      <c r="E378" s="4">
        <f>C378+$B$6*D378</f>
        <v/>
      </c>
      <c r="F378" s="4">
        <f>$B$3*E378^(3/4)*(1-(E378/$B$4)^(1/4))</f>
        <v/>
      </c>
      <c r="G378" s="4">
        <f>( $B$8 + ($B$9-$B$8)*EXP(-$B$3*B378/(4*$B$8)) )^4</f>
        <v/>
      </c>
      <c r="H378" s="4">
        <f>ABS(C378-G378)</f>
        <v/>
      </c>
    </row>
    <row r="379">
      <c r="A379" s="4">
        <f>A378+1</f>
        <v/>
      </c>
      <c r="B379" s="4">
        <f>B378+$B$6</f>
        <v/>
      </c>
      <c r="C379" s="4">
        <f>C378+($B$6/2)*(D378+F378)</f>
        <v/>
      </c>
      <c r="D379" s="4">
        <f>$B$3*C379^(3/4)*(1-(C379/$B$4)^(1/4))</f>
        <v/>
      </c>
      <c r="E379" s="4">
        <f>C379+$B$6*D379</f>
        <v/>
      </c>
      <c r="F379" s="4">
        <f>$B$3*E379^(3/4)*(1-(E379/$B$4)^(1/4))</f>
        <v/>
      </c>
      <c r="G379" s="4">
        <f>( $B$8 + ($B$9-$B$8)*EXP(-$B$3*B379/(4*$B$8)) )^4</f>
        <v/>
      </c>
      <c r="H379" s="4">
        <f>ABS(C379-G379)</f>
        <v/>
      </c>
    </row>
    <row r="380">
      <c r="A380" s="4">
        <f>A379+1</f>
        <v/>
      </c>
      <c r="B380" s="4">
        <f>B379+$B$6</f>
        <v/>
      </c>
      <c r="C380" s="4">
        <f>C379+($B$6/2)*(D379+F379)</f>
        <v/>
      </c>
      <c r="D380" s="4">
        <f>$B$3*C380^(3/4)*(1-(C380/$B$4)^(1/4))</f>
        <v/>
      </c>
      <c r="E380" s="4">
        <f>C380+$B$6*D380</f>
        <v/>
      </c>
      <c r="F380" s="4">
        <f>$B$3*E380^(3/4)*(1-(E380/$B$4)^(1/4))</f>
        <v/>
      </c>
      <c r="G380" s="4">
        <f>( $B$8 + ($B$9-$B$8)*EXP(-$B$3*B380/(4*$B$8)) )^4</f>
        <v/>
      </c>
      <c r="H380" s="4">
        <f>ABS(C380-G380)</f>
        <v/>
      </c>
    </row>
    <row r="381">
      <c r="A381" s="4">
        <f>A380+1</f>
        <v/>
      </c>
      <c r="B381" s="4">
        <f>B380+$B$6</f>
        <v/>
      </c>
      <c r="C381" s="4">
        <f>C380+($B$6/2)*(D380+F380)</f>
        <v/>
      </c>
      <c r="D381" s="4">
        <f>$B$3*C381^(3/4)*(1-(C381/$B$4)^(1/4))</f>
        <v/>
      </c>
      <c r="E381" s="4">
        <f>C381+$B$6*D381</f>
        <v/>
      </c>
      <c r="F381" s="4">
        <f>$B$3*E381^(3/4)*(1-(E381/$B$4)^(1/4))</f>
        <v/>
      </c>
      <c r="G381" s="4">
        <f>( $B$8 + ($B$9-$B$8)*EXP(-$B$3*B381/(4*$B$8)) )^4</f>
        <v/>
      </c>
      <c r="H381" s="4">
        <f>ABS(C381-G381)</f>
        <v/>
      </c>
    </row>
    <row r="382">
      <c r="A382" s="4">
        <f>A381+1</f>
        <v/>
      </c>
      <c r="B382" s="4">
        <f>B381+$B$6</f>
        <v/>
      </c>
      <c r="C382" s="4">
        <f>C381+($B$6/2)*(D381+F381)</f>
        <v/>
      </c>
      <c r="D382" s="4">
        <f>$B$3*C382^(3/4)*(1-(C382/$B$4)^(1/4))</f>
        <v/>
      </c>
      <c r="E382" s="4">
        <f>C382+$B$6*D382</f>
        <v/>
      </c>
      <c r="F382" s="4">
        <f>$B$3*E382^(3/4)*(1-(E382/$B$4)^(1/4))</f>
        <v/>
      </c>
      <c r="G382" s="4">
        <f>( $B$8 + ($B$9-$B$8)*EXP(-$B$3*B382/(4*$B$8)) )^4</f>
        <v/>
      </c>
      <c r="H382" s="4">
        <f>ABS(C382-G382)</f>
        <v/>
      </c>
    </row>
    <row r="383">
      <c r="A383" s="4">
        <f>A382+1</f>
        <v/>
      </c>
      <c r="B383" s="4">
        <f>B382+$B$6</f>
        <v/>
      </c>
      <c r="C383" s="4">
        <f>C382+($B$6/2)*(D382+F382)</f>
        <v/>
      </c>
      <c r="D383" s="4">
        <f>$B$3*C383^(3/4)*(1-(C383/$B$4)^(1/4))</f>
        <v/>
      </c>
      <c r="E383" s="4">
        <f>C383+$B$6*D383</f>
        <v/>
      </c>
      <c r="F383" s="4">
        <f>$B$3*E383^(3/4)*(1-(E383/$B$4)^(1/4))</f>
        <v/>
      </c>
      <c r="G383" s="4">
        <f>( $B$8 + ($B$9-$B$8)*EXP(-$B$3*B383/(4*$B$8)) )^4</f>
        <v/>
      </c>
      <c r="H383" s="4">
        <f>ABS(C383-G383)</f>
        <v/>
      </c>
    </row>
    <row r="384">
      <c r="A384" s="4">
        <f>A383+1</f>
        <v/>
      </c>
      <c r="B384" s="4">
        <f>B383+$B$6</f>
        <v/>
      </c>
      <c r="C384" s="4">
        <f>C383+($B$6/2)*(D383+F383)</f>
        <v/>
      </c>
      <c r="D384" s="4">
        <f>$B$3*C384^(3/4)*(1-(C384/$B$4)^(1/4))</f>
        <v/>
      </c>
      <c r="E384" s="4">
        <f>C384+$B$6*D384</f>
        <v/>
      </c>
      <c r="F384" s="4">
        <f>$B$3*E384^(3/4)*(1-(E384/$B$4)^(1/4))</f>
        <v/>
      </c>
      <c r="G384" s="4">
        <f>( $B$8 + ($B$9-$B$8)*EXP(-$B$3*B384/(4*$B$8)) )^4</f>
        <v/>
      </c>
      <c r="H384" s="4">
        <f>ABS(C384-G384)</f>
        <v/>
      </c>
    </row>
    <row r="385">
      <c r="A385" s="4">
        <f>A384+1</f>
        <v/>
      </c>
      <c r="B385" s="4">
        <f>B384+$B$6</f>
        <v/>
      </c>
      <c r="C385" s="4">
        <f>C384+($B$6/2)*(D384+F384)</f>
        <v/>
      </c>
      <c r="D385" s="4">
        <f>$B$3*C385^(3/4)*(1-(C385/$B$4)^(1/4))</f>
        <v/>
      </c>
      <c r="E385" s="4">
        <f>C385+$B$6*D385</f>
        <v/>
      </c>
      <c r="F385" s="4">
        <f>$B$3*E385^(3/4)*(1-(E385/$B$4)^(1/4))</f>
        <v/>
      </c>
      <c r="G385" s="4">
        <f>( $B$8 + ($B$9-$B$8)*EXP(-$B$3*B385/(4*$B$8)) )^4</f>
        <v/>
      </c>
      <c r="H385" s="4">
        <f>ABS(C385-G385)</f>
        <v/>
      </c>
    </row>
    <row r="386">
      <c r="A386" s="4">
        <f>A385+1</f>
        <v/>
      </c>
      <c r="B386" s="4">
        <f>B385+$B$6</f>
        <v/>
      </c>
      <c r="C386" s="4">
        <f>C385+($B$6/2)*(D385+F385)</f>
        <v/>
      </c>
      <c r="D386" s="4">
        <f>$B$3*C386^(3/4)*(1-(C386/$B$4)^(1/4))</f>
        <v/>
      </c>
      <c r="E386" s="4">
        <f>C386+$B$6*D386</f>
        <v/>
      </c>
      <c r="F386" s="4">
        <f>$B$3*E386^(3/4)*(1-(E386/$B$4)^(1/4))</f>
        <v/>
      </c>
      <c r="G386" s="4">
        <f>( $B$8 + ($B$9-$B$8)*EXP(-$B$3*B386/(4*$B$8)) )^4</f>
        <v/>
      </c>
      <c r="H386" s="4">
        <f>ABS(C386-G386)</f>
        <v/>
      </c>
    </row>
    <row r="387">
      <c r="A387" s="4">
        <f>A386+1</f>
        <v/>
      </c>
      <c r="B387" s="4">
        <f>B386+$B$6</f>
        <v/>
      </c>
      <c r="C387" s="4">
        <f>C386+($B$6/2)*(D386+F386)</f>
        <v/>
      </c>
      <c r="D387" s="4">
        <f>$B$3*C387^(3/4)*(1-(C387/$B$4)^(1/4))</f>
        <v/>
      </c>
      <c r="E387" s="4">
        <f>C387+$B$6*D387</f>
        <v/>
      </c>
      <c r="F387" s="4">
        <f>$B$3*E387^(3/4)*(1-(E387/$B$4)^(1/4))</f>
        <v/>
      </c>
      <c r="G387" s="4">
        <f>( $B$8 + ($B$9-$B$8)*EXP(-$B$3*B387/(4*$B$8)) )^4</f>
        <v/>
      </c>
      <c r="H387" s="4">
        <f>ABS(C387-G387)</f>
        <v/>
      </c>
    </row>
    <row r="388">
      <c r="A388" s="4">
        <f>A387+1</f>
        <v/>
      </c>
      <c r="B388" s="4">
        <f>B387+$B$6</f>
        <v/>
      </c>
      <c r="C388" s="4">
        <f>C387+($B$6/2)*(D387+F387)</f>
        <v/>
      </c>
      <c r="D388" s="4">
        <f>$B$3*C388^(3/4)*(1-(C388/$B$4)^(1/4))</f>
        <v/>
      </c>
      <c r="E388" s="4">
        <f>C388+$B$6*D388</f>
        <v/>
      </c>
      <c r="F388" s="4">
        <f>$B$3*E388^(3/4)*(1-(E388/$B$4)^(1/4))</f>
        <v/>
      </c>
      <c r="G388" s="4">
        <f>( $B$8 + ($B$9-$B$8)*EXP(-$B$3*B388/(4*$B$8)) )^4</f>
        <v/>
      </c>
      <c r="H388" s="4">
        <f>ABS(C388-G388)</f>
        <v/>
      </c>
    </row>
    <row r="389">
      <c r="A389" s="4">
        <f>A388+1</f>
        <v/>
      </c>
      <c r="B389" s="4">
        <f>B388+$B$6</f>
        <v/>
      </c>
      <c r="C389" s="4">
        <f>C388+($B$6/2)*(D388+F388)</f>
        <v/>
      </c>
      <c r="D389" s="4">
        <f>$B$3*C389^(3/4)*(1-(C389/$B$4)^(1/4))</f>
        <v/>
      </c>
      <c r="E389" s="4">
        <f>C389+$B$6*D389</f>
        <v/>
      </c>
      <c r="F389" s="4">
        <f>$B$3*E389^(3/4)*(1-(E389/$B$4)^(1/4))</f>
        <v/>
      </c>
      <c r="G389" s="4">
        <f>( $B$8 + ($B$9-$B$8)*EXP(-$B$3*B389/(4*$B$8)) )^4</f>
        <v/>
      </c>
      <c r="H389" s="4">
        <f>ABS(C389-G389)</f>
        <v/>
      </c>
    </row>
    <row r="390">
      <c r="A390" s="4">
        <f>A389+1</f>
        <v/>
      </c>
      <c r="B390" s="4">
        <f>B389+$B$6</f>
        <v/>
      </c>
      <c r="C390" s="4">
        <f>C389+($B$6/2)*(D389+F389)</f>
        <v/>
      </c>
      <c r="D390" s="4">
        <f>$B$3*C390^(3/4)*(1-(C390/$B$4)^(1/4))</f>
        <v/>
      </c>
      <c r="E390" s="4">
        <f>C390+$B$6*D390</f>
        <v/>
      </c>
      <c r="F390" s="4">
        <f>$B$3*E390^(3/4)*(1-(E390/$B$4)^(1/4))</f>
        <v/>
      </c>
      <c r="G390" s="4">
        <f>( $B$8 + ($B$9-$B$8)*EXP(-$B$3*B390/(4*$B$8)) )^4</f>
        <v/>
      </c>
      <c r="H390" s="4">
        <f>ABS(C390-G390)</f>
        <v/>
      </c>
    </row>
    <row r="391">
      <c r="A391" s="4">
        <f>A390+1</f>
        <v/>
      </c>
      <c r="B391" s="4">
        <f>B390+$B$6</f>
        <v/>
      </c>
      <c r="C391" s="4">
        <f>C390+($B$6/2)*(D390+F390)</f>
        <v/>
      </c>
      <c r="D391" s="4">
        <f>$B$3*C391^(3/4)*(1-(C391/$B$4)^(1/4))</f>
        <v/>
      </c>
      <c r="E391" s="4">
        <f>C391+$B$6*D391</f>
        <v/>
      </c>
      <c r="F391" s="4">
        <f>$B$3*E391^(3/4)*(1-(E391/$B$4)^(1/4))</f>
        <v/>
      </c>
      <c r="G391" s="4">
        <f>( $B$8 + ($B$9-$B$8)*EXP(-$B$3*B391/(4*$B$8)) )^4</f>
        <v/>
      </c>
      <c r="H391" s="4">
        <f>ABS(C391-G391)</f>
        <v/>
      </c>
    </row>
    <row r="392">
      <c r="A392" s="4">
        <f>A391+1</f>
        <v/>
      </c>
      <c r="B392" s="4">
        <f>B391+$B$6</f>
        <v/>
      </c>
      <c r="C392" s="4">
        <f>C391+($B$6/2)*(D391+F391)</f>
        <v/>
      </c>
      <c r="D392" s="4">
        <f>$B$3*C392^(3/4)*(1-(C392/$B$4)^(1/4))</f>
        <v/>
      </c>
      <c r="E392" s="4">
        <f>C392+$B$6*D392</f>
        <v/>
      </c>
      <c r="F392" s="4">
        <f>$B$3*E392^(3/4)*(1-(E392/$B$4)^(1/4))</f>
        <v/>
      </c>
      <c r="G392" s="4">
        <f>( $B$8 + ($B$9-$B$8)*EXP(-$B$3*B392/(4*$B$8)) )^4</f>
        <v/>
      </c>
      <c r="H392" s="4">
        <f>ABS(C392-G392)</f>
        <v/>
      </c>
    </row>
    <row r="393">
      <c r="A393" s="4">
        <f>A392+1</f>
        <v/>
      </c>
      <c r="B393" s="4">
        <f>B392+$B$6</f>
        <v/>
      </c>
      <c r="C393" s="4">
        <f>C392+($B$6/2)*(D392+F392)</f>
        <v/>
      </c>
      <c r="D393" s="4">
        <f>$B$3*C393^(3/4)*(1-(C393/$B$4)^(1/4))</f>
        <v/>
      </c>
      <c r="E393" s="4">
        <f>C393+$B$6*D393</f>
        <v/>
      </c>
      <c r="F393" s="4">
        <f>$B$3*E393^(3/4)*(1-(E393/$B$4)^(1/4))</f>
        <v/>
      </c>
      <c r="G393" s="4">
        <f>( $B$8 + ($B$9-$B$8)*EXP(-$B$3*B393/(4*$B$8)) )^4</f>
        <v/>
      </c>
      <c r="H393" s="4">
        <f>ABS(C393-G393)</f>
        <v/>
      </c>
    </row>
    <row r="394">
      <c r="A394" s="4">
        <f>A393+1</f>
        <v/>
      </c>
      <c r="B394" s="4">
        <f>B393+$B$6</f>
        <v/>
      </c>
      <c r="C394" s="4">
        <f>C393+($B$6/2)*(D393+F393)</f>
        <v/>
      </c>
      <c r="D394" s="4">
        <f>$B$3*C394^(3/4)*(1-(C394/$B$4)^(1/4))</f>
        <v/>
      </c>
      <c r="E394" s="4">
        <f>C394+$B$6*D394</f>
        <v/>
      </c>
      <c r="F394" s="4">
        <f>$B$3*E394^(3/4)*(1-(E394/$B$4)^(1/4))</f>
        <v/>
      </c>
      <c r="G394" s="4">
        <f>( $B$8 + ($B$9-$B$8)*EXP(-$B$3*B394/(4*$B$8)) )^4</f>
        <v/>
      </c>
      <c r="H394" s="4">
        <f>ABS(C394-G394)</f>
        <v/>
      </c>
    </row>
    <row r="395">
      <c r="A395" s="4">
        <f>A394+1</f>
        <v/>
      </c>
      <c r="B395" s="4">
        <f>B394+$B$6</f>
        <v/>
      </c>
      <c r="C395" s="4">
        <f>C394+($B$6/2)*(D394+F394)</f>
        <v/>
      </c>
      <c r="D395" s="4">
        <f>$B$3*C395^(3/4)*(1-(C395/$B$4)^(1/4))</f>
        <v/>
      </c>
      <c r="E395" s="4">
        <f>C395+$B$6*D395</f>
        <v/>
      </c>
      <c r="F395" s="4">
        <f>$B$3*E395^(3/4)*(1-(E395/$B$4)^(1/4))</f>
        <v/>
      </c>
      <c r="G395" s="4">
        <f>( $B$8 + ($B$9-$B$8)*EXP(-$B$3*B395/(4*$B$8)) )^4</f>
        <v/>
      </c>
      <c r="H395" s="4">
        <f>ABS(C395-G395)</f>
        <v/>
      </c>
    </row>
    <row r="396">
      <c r="A396" s="4">
        <f>A395+1</f>
        <v/>
      </c>
      <c r="B396" s="4">
        <f>B395+$B$6</f>
        <v/>
      </c>
      <c r="C396" s="4">
        <f>C395+($B$6/2)*(D395+F395)</f>
        <v/>
      </c>
      <c r="D396" s="4">
        <f>$B$3*C396^(3/4)*(1-(C396/$B$4)^(1/4))</f>
        <v/>
      </c>
      <c r="E396" s="4">
        <f>C396+$B$6*D396</f>
        <v/>
      </c>
      <c r="F396" s="4">
        <f>$B$3*E396^(3/4)*(1-(E396/$B$4)^(1/4))</f>
        <v/>
      </c>
      <c r="G396" s="4">
        <f>( $B$8 + ($B$9-$B$8)*EXP(-$B$3*B396/(4*$B$8)) )^4</f>
        <v/>
      </c>
      <c r="H396" s="4">
        <f>ABS(C396-G396)</f>
        <v/>
      </c>
    </row>
    <row r="397">
      <c r="A397" s="4">
        <f>A396+1</f>
        <v/>
      </c>
      <c r="B397" s="4">
        <f>B396+$B$6</f>
        <v/>
      </c>
      <c r="C397" s="4">
        <f>C396+($B$6/2)*(D396+F396)</f>
        <v/>
      </c>
      <c r="D397" s="4">
        <f>$B$3*C397^(3/4)*(1-(C397/$B$4)^(1/4))</f>
        <v/>
      </c>
      <c r="E397" s="4">
        <f>C397+$B$6*D397</f>
        <v/>
      </c>
      <c r="F397" s="4">
        <f>$B$3*E397^(3/4)*(1-(E397/$B$4)^(1/4))</f>
        <v/>
      </c>
      <c r="G397" s="4">
        <f>( $B$8 + ($B$9-$B$8)*EXP(-$B$3*B397/(4*$B$8)) )^4</f>
        <v/>
      </c>
      <c r="H397" s="4">
        <f>ABS(C397-G397)</f>
        <v/>
      </c>
    </row>
    <row r="398">
      <c r="A398" s="4">
        <f>A397+1</f>
        <v/>
      </c>
      <c r="B398" s="4">
        <f>B397+$B$6</f>
        <v/>
      </c>
      <c r="C398" s="4">
        <f>C397+($B$6/2)*(D397+F397)</f>
        <v/>
      </c>
      <c r="D398" s="4">
        <f>$B$3*C398^(3/4)*(1-(C398/$B$4)^(1/4))</f>
        <v/>
      </c>
      <c r="E398" s="4">
        <f>C398+$B$6*D398</f>
        <v/>
      </c>
      <c r="F398" s="4">
        <f>$B$3*E398^(3/4)*(1-(E398/$B$4)^(1/4))</f>
        <v/>
      </c>
      <c r="G398" s="4">
        <f>( $B$8 + ($B$9-$B$8)*EXP(-$B$3*B398/(4*$B$8)) )^4</f>
        <v/>
      </c>
      <c r="H398" s="4">
        <f>ABS(C398-G398)</f>
        <v/>
      </c>
    </row>
    <row r="399">
      <c r="A399" s="4">
        <f>A398+1</f>
        <v/>
      </c>
      <c r="B399" s="4">
        <f>B398+$B$6</f>
        <v/>
      </c>
      <c r="C399" s="4">
        <f>C398+($B$6/2)*(D398+F398)</f>
        <v/>
      </c>
      <c r="D399" s="4">
        <f>$B$3*C399^(3/4)*(1-(C399/$B$4)^(1/4))</f>
        <v/>
      </c>
      <c r="E399" s="4">
        <f>C399+$B$6*D399</f>
        <v/>
      </c>
      <c r="F399" s="4">
        <f>$B$3*E399^(3/4)*(1-(E399/$B$4)^(1/4))</f>
        <v/>
      </c>
      <c r="G399" s="4">
        <f>( $B$8 + ($B$9-$B$8)*EXP(-$B$3*B399/(4*$B$8)) )^4</f>
        <v/>
      </c>
      <c r="H399" s="4">
        <f>ABS(C399-G399)</f>
        <v/>
      </c>
    </row>
    <row r="400">
      <c r="A400" s="4">
        <f>A399+1</f>
        <v/>
      </c>
      <c r="B400" s="4">
        <f>B399+$B$6</f>
        <v/>
      </c>
      <c r="C400" s="4">
        <f>C399+($B$6/2)*(D399+F399)</f>
        <v/>
      </c>
      <c r="D400" s="4">
        <f>$B$3*C400^(3/4)*(1-(C400/$B$4)^(1/4))</f>
        <v/>
      </c>
      <c r="E400" s="4">
        <f>C400+$B$6*D400</f>
        <v/>
      </c>
      <c r="F400" s="4">
        <f>$B$3*E400^(3/4)*(1-(E400/$B$4)^(1/4))</f>
        <v/>
      </c>
      <c r="G400" s="4">
        <f>( $B$8 + ($B$9-$B$8)*EXP(-$B$3*B400/(4*$B$8)) )^4</f>
        <v/>
      </c>
      <c r="H400" s="4">
        <f>ABS(C400-G400)</f>
        <v/>
      </c>
    </row>
    <row r="401">
      <c r="A401" s="4">
        <f>A400+1</f>
        <v/>
      </c>
      <c r="B401" s="4">
        <f>B400+$B$6</f>
        <v/>
      </c>
      <c r="C401" s="4">
        <f>C400+($B$6/2)*(D400+F400)</f>
        <v/>
      </c>
      <c r="D401" s="4">
        <f>$B$3*C401^(3/4)*(1-(C401/$B$4)^(1/4))</f>
        <v/>
      </c>
      <c r="E401" s="4">
        <f>C401+$B$6*D401</f>
        <v/>
      </c>
      <c r="F401" s="4">
        <f>$B$3*E401^(3/4)*(1-(E401/$B$4)^(1/4))</f>
        <v/>
      </c>
      <c r="G401" s="4">
        <f>( $B$8 + ($B$9-$B$8)*EXP(-$B$3*B401/(4*$B$8)) )^4</f>
        <v/>
      </c>
      <c r="H401" s="4">
        <f>ABS(C401-G401)</f>
        <v/>
      </c>
    </row>
    <row r="402">
      <c r="A402" s="4">
        <f>A401+1</f>
        <v/>
      </c>
      <c r="B402" s="4">
        <f>B401+$B$6</f>
        <v/>
      </c>
      <c r="C402" s="4">
        <f>C401+($B$6/2)*(D401+F401)</f>
        <v/>
      </c>
      <c r="D402" s="4">
        <f>$B$3*C402^(3/4)*(1-(C402/$B$4)^(1/4))</f>
        <v/>
      </c>
      <c r="E402" s="4">
        <f>C402+$B$6*D402</f>
        <v/>
      </c>
      <c r="F402" s="4">
        <f>$B$3*E402^(3/4)*(1-(E402/$B$4)^(1/4))</f>
        <v/>
      </c>
      <c r="G402" s="4">
        <f>( $B$8 + ($B$9-$B$8)*EXP(-$B$3*B402/(4*$B$8)) )^4</f>
        <v/>
      </c>
      <c r="H402" s="4">
        <f>ABS(C402-G402)</f>
        <v/>
      </c>
    </row>
    <row r="403">
      <c r="A403" s="4">
        <f>A402+1</f>
        <v/>
      </c>
      <c r="B403" s="4">
        <f>B402+$B$6</f>
        <v/>
      </c>
      <c r="C403" s="4">
        <f>C402+($B$6/2)*(D402+F402)</f>
        <v/>
      </c>
      <c r="D403" s="4">
        <f>$B$3*C403^(3/4)*(1-(C403/$B$4)^(1/4))</f>
        <v/>
      </c>
      <c r="E403" s="4">
        <f>C403+$B$6*D403</f>
        <v/>
      </c>
      <c r="F403" s="4">
        <f>$B$3*E403^(3/4)*(1-(E403/$B$4)^(1/4))</f>
        <v/>
      </c>
      <c r="G403" s="4">
        <f>( $B$8 + ($B$9-$B$8)*EXP(-$B$3*B403/(4*$B$8)) )^4</f>
        <v/>
      </c>
      <c r="H403" s="4">
        <f>ABS(C403-G403)</f>
        <v/>
      </c>
    </row>
    <row r="404">
      <c r="A404" s="4">
        <f>A403+1</f>
        <v/>
      </c>
      <c r="B404" s="4">
        <f>B403+$B$6</f>
        <v/>
      </c>
      <c r="C404" s="4">
        <f>C403+($B$6/2)*(D403+F403)</f>
        <v/>
      </c>
      <c r="D404" s="4">
        <f>$B$3*C404^(3/4)*(1-(C404/$B$4)^(1/4))</f>
        <v/>
      </c>
      <c r="E404" s="4">
        <f>C404+$B$6*D404</f>
        <v/>
      </c>
      <c r="F404" s="4">
        <f>$B$3*E404^(3/4)*(1-(E404/$B$4)^(1/4))</f>
        <v/>
      </c>
      <c r="G404" s="4">
        <f>( $B$8 + ($B$9-$B$8)*EXP(-$B$3*B404/(4*$B$8)) )^4</f>
        <v/>
      </c>
      <c r="H404" s="4">
        <f>ABS(C404-G404)</f>
        <v/>
      </c>
    </row>
    <row r="405">
      <c r="A405" s="4">
        <f>A404+1</f>
        <v/>
      </c>
      <c r="B405" s="4">
        <f>B404+$B$6</f>
        <v/>
      </c>
      <c r="C405" s="4">
        <f>C404+($B$6/2)*(D404+F404)</f>
        <v/>
      </c>
      <c r="D405" s="4">
        <f>$B$3*C405^(3/4)*(1-(C405/$B$4)^(1/4))</f>
        <v/>
      </c>
      <c r="E405" s="4">
        <f>C405+$B$6*D405</f>
        <v/>
      </c>
      <c r="F405" s="4">
        <f>$B$3*E405^(3/4)*(1-(E405/$B$4)^(1/4))</f>
        <v/>
      </c>
      <c r="G405" s="4">
        <f>( $B$8 + ($B$9-$B$8)*EXP(-$B$3*B405/(4*$B$8)) )^4</f>
        <v/>
      </c>
      <c r="H405" s="4">
        <f>ABS(C405-G405)</f>
        <v/>
      </c>
    </row>
    <row r="406">
      <c r="A406" s="4">
        <f>A405+1</f>
        <v/>
      </c>
      <c r="B406" s="4">
        <f>B405+$B$6</f>
        <v/>
      </c>
      <c r="C406" s="4">
        <f>C405+($B$6/2)*(D405+F405)</f>
        <v/>
      </c>
      <c r="D406" s="4">
        <f>$B$3*C406^(3/4)*(1-(C406/$B$4)^(1/4))</f>
        <v/>
      </c>
      <c r="E406" s="4">
        <f>C406+$B$6*D406</f>
        <v/>
      </c>
      <c r="F406" s="4">
        <f>$B$3*E406^(3/4)*(1-(E406/$B$4)^(1/4))</f>
        <v/>
      </c>
      <c r="G406" s="4">
        <f>( $B$8 + ($B$9-$B$8)*EXP(-$B$3*B406/(4*$B$8)) )^4</f>
        <v/>
      </c>
      <c r="H406" s="4">
        <f>ABS(C406-G406)</f>
        <v/>
      </c>
    </row>
    <row r="407">
      <c r="A407" s="4">
        <f>A406+1</f>
        <v/>
      </c>
      <c r="B407" s="4">
        <f>B406+$B$6</f>
        <v/>
      </c>
      <c r="C407" s="4">
        <f>C406+($B$6/2)*(D406+F406)</f>
        <v/>
      </c>
      <c r="D407" s="4">
        <f>$B$3*C407^(3/4)*(1-(C407/$B$4)^(1/4))</f>
        <v/>
      </c>
      <c r="E407" s="4">
        <f>C407+$B$6*D407</f>
        <v/>
      </c>
      <c r="F407" s="4">
        <f>$B$3*E407^(3/4)*(1-(E407/$B$4)^(1/4))</f>
        <v/>
      </c>
      <c r="G407" s="4">
        <f>( $B$8 + ($B$9-$B$8)*EXP(-$B$3*B407/(4*$B$8)) )^4</f>
        <v/>
      </c>
      <c r="H407" s="4">
        <f>ABS(C407-G407)</f>
        <v/>
      </c>
    </row>
    <row r="408">
      <c r="A408" s="4">
        <f>A407+1</f>
        <v/>
      </c>
      <c r="B408" s="4">
        <f>B407+$B$6</f>
        <v/>
      </c>
      <c r="C408" s="4">
        <f>C407+($B$6/2)*(D407+F407)</f>
        <v/>
      </c>
      <c r="D408" s="4">
        <f>$B$3*C408^(3/4)*(1-(C408/$B$4)^(1/4))</f>
        <v/>
      </c>
      <c r="E408" s="4">
        <f>C408+$B$6*D408</f>
        <v/>
      </c>
      <c r="F408" s="4">
        <f>$B$3*E408^(3/4)*(1-(E408/$B$4)^(1/4))</f>
        <v/>
      </c>
      <c r="G408" s="4">
        <f>( $B$8 + ($B$9-$B$8)*EXP(-$B$3*B408/(4*$B$8)) )^4</f>
        <v/>
      </c>
      <c r="H408" s="4">
        <f>ABS(C408-G408)</f>
        <v/>
      </c>
    </row>
    <row r="409">
      <c r="A409" s="4">
        <f>A408+1</f>
        <v/>
      </c>
      <c r="B409" s="4">
        <f>B408+$B$6</f>
        <v/>
      </c>
      <c r="C409" s="4">
        <f>C408+($B$6/2)*(D408+F408)</f>
        <v/>
      </c>
      <c r="D409" s="4">
        <f>$B$3*C409^(3/4)*(1-(C409/$B$4)^(1/4))</f>
        <v/>
      </c>
      <c r="E409" s="4">
        <f>C409+$B$6*D409</f>
        <v/>
      </c>
      <c r="F409" s="4">
        <f>$B$3*E409^(3/4)*(1-(E409/$B$4)^(1/4))</f>
        <v/>
      </c>
      <c r="G409" s="4">
        <f>( $B$8 + ($B$9-$B$8)*EXP(-$B$3*B409/(4*$B$8)) )^4</f>
        <v/>
      </c>
      <c r="H409" s="4">
        <f>ABS(C409-G409)</f>
        <v/>
      </c>
    </row>
    <row r="410">
      <c r="A410" s="4">
        <f>A409+1</f>
        <v/>
      </c>
      <c r="B410" s="4">
        <f>B409+$B$6</f>
        <v/>
      </c>
      <c r="C410" s="4">
        <f>C409+($B$6/2)*(D409+F409)</f>
        <v/>
      </c>
      <c r="D410" s="4">
        <f>$B$3*C410^(3/4)*(1-(C410/$B$4)^(1/4))</f>
        <v/>
      </c>
      <c r="E410" s="4">
        <f>C410+$B$6*D410</f>
        <v/>
      </c>
      <c r="F410" s="4">
        <f>$B$3*E410^(3/4)*(1-(E410/$B$4)^(1/4))</f>
        <v/>
      </c>
      <c r="G410" s="4">
        <f>( $B$8 + ($B$9-$B$8)*EXP(-$B$3*B410/(4*$B$8)) )^4</f>
        <v/>
      </c>
      <c r="H410" s="4">
        <f>ABS(C410-G410)</f>
        <v/>
      </c>
    </row>
    <row r="411">
      <c r="A411" s="4">
        <f>A410+1</f>
        <v/>
      </c>
      <c r="B411" s="4">
        <f>B410+$B$6</f>
        <v/>
      </c>
      <c r="C411" s="4">
        <f>C410+($B$6/2)*(D410+F410)</f>
        <v/>
      </c>
      <c r="D411" s="4">
        <f>$B$3*C411^(3/4)*(1-(C411/$B$4)^(1/4))</f>
        <v/>
      </c>
      <c r="E411" s="4">
        <f>C411+$B$6*D411</f>
        <v/>
      </c>
      <c r="F411" s="4">
        <f>$B$3*E411^(3/4)*(1-(E411/$B$4)^(1/4))</f>
        <v/>
      </c>
      <c r="G411" s="4">
        <f>( $B$8 + ($B$9-$B$8)*EXP(-$B$3*B411/(4*$B$8)) )^4</f>
        <v/>
      </c>
      <c r="H411" s="4">
        <f>ABS(C411-G411)</f>
        <v/>
      </c>
    </row>
    <row r="412">
      <c r="A412" s="4">
        <f>A411+1</f>
        <v/>
      </c>
      <c r="B412" s="4">
        <f>B411+$B$6</f>
        <v/>
      </c>
      <c r="C412" s="4">
        <f>C411+($B$6/2)*(D411+F411)</f>
        <v/>
      </c>
      <c r="D412" s="4">
        <f>$B$3*C412^(3/4)*(1-(C412/$B$4)^(1/4))</f>
        <v/>
      </c>
      <c r="E412" s="4">
        <f>C412+$B$6*D412</f>
        <v/>
      </c>
      <c r="F412" s="4">
        <f>$B$3*E412^(3/4)*(1-(E412/$B$4)^(1/4))</f>
        <v/>
      </c>
      <c r="G412" s="4">
        <f>( $B$8 + ($B$9-$B$8)*EXP(-$B$3*B412/(4*$B$8)) )^4</f>
        <v/>
      </c>
      <c r="H412" s="4">
        <f>ABS(C412-G412)</f>
        <v/>
      </c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8" customWidth="1" min="4" max="4"/>
    <col width="16" customWidth="1" min="5" max="5"/>
    <col width="14" customWidth="1" min="6" max="6"/>
    <col width="10" customWidth="1" min="8" max="8"/>
    <col width="16" customWidth="1" min="9" max="9"/>
  </cols>
  <sheetData>
    <row r="1">
      <c r="A1" s="1" t="inlineStr">
        <is>
          <t>Crecimiento de un Pez (von Bertalanffy) - Euler</t>
        </is>
      </c>
    </row>
    <row r="3">
      <c r="A3" s="2" t="inlineStr">
        <is>
          <t>a (lb^(1/3)/día)</t>
        </is>
      </c>
      <c r="B3" t="n">
        <v>5</v>
      </c>
    </row>
    <row r="4">
      <c r="A4" s="2" t="inlineStr">
        <is>
          <t>b (día^-1)</t>
        </is>
      </c>
      <c r="B4" t="n">
        <v>2</v>
      </c>
    </row>
    <row r="5">
      <c r="A5" s="2" t="inlineStr">
        <is>
          <t>w(0) (lb)</t>
        </is>
      </c>
      <c r="B5" t="n">
        <v>0.5</v>
      </c>
    </row>
    <row r="6">
      <c r="A6" s="2" t="inlineStr">
        <is>
          <t>Paso h (días)</t>
        </is>
      </c>
      <c r="B6" t="n">
        <v>0.1</v>
      </c>
    </row>
    <row r="7">
      <c r="A7" s="2" t="inlineStr">
        <is>
          <t>t_final (días)</t>
        </is>
      </c>
      <c r="B7" t="n">
        <v>10</v>
      </c>
    </row>
    <row r="8">
      <c r="A8" s="2" t="inlineStr">
        <is>
          <t>α = a/b</t>
        </is>
      </c>
      <c r="B8">
        <f>B3/B4</f>
        <v/>
      </c>
    </row>
    <row r="9">
      <c r="A9" s="2" t="inlineStr">
        <is>
          <t>y0 = w(0)^(1/3)</t>
        </is>
      </c>
      <c r="B9">
        <f>B5^(1/3)</f>
        <v/>
      </c>
    </row>
    <row r="11">
      <c r="A11" s="6" t="inlineStr">
        <is>
          <t>n</t>
        </is>
      </c>
      <c r="B11" s="6" t="inlineStr">
        <is>
          <t>t_n (días)</t>
        </is>
      </c>
      <c r="C11" s="6" t="inlineStr">
        <is>
          <t>w_n (Euler) [lb]</t>
        </is>
      </c>
      <c r="D11" s="6" t="inlineStr">
        <is>
          <t>f(t_n,w_n)</t>
        </is>
      </c>
      <c r="E11" s="6" t="inlineStr">
        <is>
          <t>w_exact(t_n) [lb]</t>
        </is>
      </c>
      <c r="F11" s="6" t="inlineStr">
        <is>
          <t>|Error|</t>
        </is>
      </c>
    </row>
    <row r="12">
      <c r="A12" s="4" t="n">
        <v>0</v>
      </c>
      <c r="B12" s="4" t="n">
        <v>0</v>
      </c>
      <c r="C12" s="4">
        <f>B5</f>
        <v/>
      </c>
      <c r="D12" s="4">
        <f>$B$3*C12^(2/3)-$B$4*C12</f>
        <v/>
      </c>
      <c r="E12" s="4">
        <f>( $B$8 + ($B$9-$B$8)*EXP(-$B$4*B12/3) )^3</f>
        <v/>
      </c>
      <c r="F12" s="4">
        <f>ABS(C12-E12)</f>
        <v/>
      </c>
    </row>
    <row r="13">
      <c r="A13" s="4">
        <f>A12+1</f>
        <v/>
      </c>
      <c r="B13" s="4">
        <f>B12+$B$6</f>
        <v/>
      </c>
      <c r="C13" s="4">
        <f>C12+$B$6*D12</f>
        <v/>
      </c>
      <c r="D13" s="4">
        <f>$B$3*C13^(2/3)-$B$4*C13</f>
        <v/>
      </c>
      <c r="E13" s="4">
        <f>( $B$8 + ($B$9-$B$8)*EXP(-$B$4*B13/3) )^3</f>
        <v/>
      </c>
      <c r="F13" s="4">
        <f>ABS(C13-E13)</f>
        <v/>
      </c>
    </row>
    <row r="14">
      <c r="A14" s="4">
        <f>A13+1</f>
        <v/>
      </c>
      <c r="B14" s="4">
        <f>B13+$B$6</f>
        <v/>
      </c>
      <c r="C14" s="4">
        <f>C13+$B$6*D13</f>
        <v/>
      </c>
      <c r="D14" s="4">
        <f>$B$3*C14^(2/3)-$B$4*C14</f>
        <v/>
      </c>
      <c r="E14" s="4">
        <f>( $B$8 + ($B$9-$B$8)*EXP(-$B$4*B14/3) )^3</f>
        <v/>
      </c>
      <c r="F14" s="4">
        <f>ABS(C14-E14)</f>
        <v/>
      </c>
    </row>
    <row r="15">
      <c r="A15" s="4">
        <f>A14+1</f>
        <v/>
      </c>
      <c r="B15" s="4">
        <f>B14+$B$6</f>
        <v/>
      </c>
      <c r="C15" s="4">
        <f>C14+$B$6*D14</f>
        <v/>
      </c>
      <c r="D15" s="4">
        <f>$B$3*C15^(2/3)-$B$4*C15</f>
        <v/>
      </c>
      <c r="E15" s="4">
        <f>( $B$8 + ($B$9-$B$8)*EXP(-$B$4*B15/3) )^3</f>
        <v/>
      </c>
      <c r="F15" s="4">
        <f>ABS(C15-E15)</f>
        <v/>
      </c>
    </row>
    <row r="16">
      <c r="A16" s="4">
        <f>A15+1</f>
        <v/>
      </c>
      <c r="B16" s="4">
        <f>B15+$B$6</f>
        <v/>
      </c>
      <c r="C16" s="4">
        <f>C15+$B$6*D15</f>
        <v/>
      </c>
      <c r="D16" s="4">
        <f>$B$3*C16^(2/3)-$B$4*C16</f>
        <v/>
      </c>
      <c r="E16" s="4">
        <f>( $B$8 + ($B$9-$B$8)*EXP(-$B$4*B16/3) )^3</f>
        <v/>
      </c>
      <c r="F16" s="4">
        <f>ABS(C16-E16)</f>
        <v/>
      </c>
    </row>
    <row r="17">
      <c r="A17" s="4">
        <f>A16+1</f>
        <v/>
      </c>
      <c r="B17" s="4">
        <f>B16+$B$6</f>
        <v/>
      </c>
      <c r="C17" s="4">
        <f>C16+$B$6*D16</f>
        <v/>
      </c>
      <c r="D17" s="4">
        <f>$B$3*C17^(2/3)-$B$4*C17</f>
        <v/>
      </c>
      <c r="E17" s="4">
        <f>( $B$8 + ($B$9-$B$8)*EXP(-$B$4*B17/3) )^3</f>
        <v/>
      </c>
      <c r="F17" s="4">
        <f>ABS(C17-E17)</f>
        <v/>
      </c>
    </row>
    <row r="18">
      <c r="A18" s="4">
        <f>A17+1</f>
        <v/>
      </c>
      <c r="B18" s="4">
        <f>B17+$B$6</f>
        <v/>
      </c>
      <c r="C18" s="4">
        <f>C17+$B$6*D17</f>
        <v/>
      </c>
      <c r="D18" s="4">
        <f>$B$3*C18^(2/3)-$B$4*C18</f>
        <v/>
      </c>
      <c r="E18" s="4">
        <f>( $B$8 + ($B$9-$B$8)*EXP(-$B$4*B18/3) )^3</f>
        <v/>
      </c>
      <c r="F18" s="4">
        <f>ABS(C18-E18)</f>
        <v/>
      </c>
    </row>
    <row r="19">
      <c r="A19" s="4">
        <f>A18+1</f>
        <v/>
      </c>
      <c r="B19" s="4">
        <f>B18+$B$6</f>
        <v/>
      </c>
      <c r="C19" s="4">
        <f>C18+$B$6*D18</f>
        <v/>
      </c>
      <c r="D19" s="4">
        <f>$B$3*C19^(2/3)-$B$4*C19</f>
        <v/>
      </c>
      <c r="E19" s="4">
        <f>( $B$8 + ($B$9-$B$8)*EXP(-$B$4*B19/3) )^3</f>
        <v/>
      </c>
      <c r="F19" s="4">
        <f>ABS(C19-E19)</f>
        <v/>
      </c>
    </row>
    <row r="20">
      <c r="A20" s="4">
        <f>A19+1</f>
        <v/>
      </c>
      <c r="B20" s="4">
        <f>B19+$B$6</f>
        <v/>
      </c>
      <c r="C20" s="4">
        <f>C19+$B$6*D19</f>
        <v/>
      </c>
      <c r="D20" s="4">
        <f>$B$3*C20^(2/3)-$B$4*C20</f>
        <v/>
      </c>
      <c r="E20" s="4">
        <f>( $B$8 + ($B$9-$B$8)*EXP(-$B$4*B20/3) )^3</f>
        <v/>
      </c>
      <c r="F20" s="4">
        <f>ABS(C20-E20)</f>
        <v/>
      </c>
    </row>
    <row r="21">
      <c r="A21" s="4">
        <f>A20+1</f>
        <v/>
      </c>
      <c r="B21" s="4">
        <f>B20+$B$6</f>
        <v/>
      </c>
      <c r="C21" s="4">
        <f>C20+$B$6*D20</f>
        <v/>
      </c>
      <c r="D21" s="4">
        <f>$B$3*C21^(2/3)-$B$4*C21</f>
        <v/>
      </c>
      <c r="E21" s="4">
        <f>( $B$8 + ($B$9-$B$8)*EXP(-$B$4*B21/3) )^3</f>
        <v/>
      </c>
      <c r="F21" s="4">
        <f>ABS(C21-E21)</f>
        <v/>
      </c>
    </row>
    <row r="22">
      <c r="A22" s="4">
        <f>A21+1</f>
        <v/>
      </c>
      <c r="B22" s="4">
        <f>B21+$B$6</f>
        <v/>
      </c>
      <c r="C22" s="4">
        <f>C21+$B$6*D21</f>
        <v/>
      </c>
      <c r="D22" s="4">
        <f>$B$3*C22^(2/3)-$B$4*C22</f>
        <v/>
      </c>
      <c r="E22" s="4">
        <f>( $B$8 + ($B$9-$B$8)*EXP(-$B$4*B22/3) )^3</f>
        <v/>
      </c>
      <c r="F22" s="4">
        <f>ABS(C22-E22)</f>
        <v/>
      </c>
    </row>
    <row r="23">
      <c r="A23" s="4">
        <f>A22+1</f>
        <v/>
      </c>
      <c r="B23" s="4">
        <f>B22+$B$6</f>
        <v/>
      </c>
      <c r="C23" s="4">
        <f>C22+$B$6*D22</f>
        <v/>
      </c>
      <c r="D23" s="4">
        <f>$B$3*C23^(2/3)-$B$4*C23</f>
        <v/>
      </c>
      <c r="E23" s="4">
        <f>( $B$8 + ($B$9-$B$8)*EXP(-$B$4*B23/3) )^3</f>
        <v/>
      </c>
      <c r="F23" s="4">
        <f>ABS(C23-E23)</f>
        <v/>
      </c>
    </row>
    <row r="24">
      <c r="A24" s="4">
        <f>A23+1</f>
        <v/>
      </c>
      <c r="B24" s="4">
        <f>B23+$B$6</f>
        <v/>
      </c>
      <c r="C24" s="4">
        <f>C23+$B$6*D23</f>
        <v/>
      </c>
      <c r="D24" s="4">
        <f>$B$3*C24^(2/3)-$B$4*C24</f>
        <v/>
      </c>
      <c r="E24" s="4">
        <f>( $B$8 + ($B$9-$B$8)*EXP(-$B$4*B24/3) )^3</f>
        <v/>
      </c>
      <c r="F24" s="4">
        <f>ABS(C24-E24)</f>
        <v/>
      </c>
    </row>
    <row r="25">
      <c r="A25" s="4">
        <f>A24+1</f>
        <v/>
      </c>
      <c r="B25" s="4">
        <f>B24+$B$6</f>
        <v/>
      </c>
      <c r="C25" s="4">
        <f>C24+$B$6*D24</f>
        <v/>
      </c>
      <c r="D25" s="4">
        <f>$B$3*C25^(2/3)-$B$4*C25</f>
        <v/>
      </c>
      <c r="E25" s="4">
        <f>( $B$8 + ($B$9-$B$8)*EXP(-$B$4*B25/3) )^3</f>
        <v/>
      </c>
      <c r="F25" s="4">
        <f>ABS(C25-E25)</f>
        <v/>
      </c>
    </row>
    <row r="26">
      <c r="A26" s="4">
        <f>A25+1</f>
        <v/>
      </c>
      <c r="B26" s="4">
        <f>B25+$B$6</f>
        <v/>
      </c>
      <c r="C26" s="4">
        <f>C25+$B$6*D25</f>
        <v/>
      </c>
      <c r="D26" s="4">
        <f>$B$3*C26^(2/3)-$B$4*C26</f>
        <v/>
      </c>
      <c r="E26" s="4">
        <f>( $B$8 + ($B$9-$B$8)*EXP(-$B$4*B26/3) )^3</f>
        <v/>
      </c>
      <c r="F26" s="4">
        <f>ABS(C26-E26)</f>
        <v/>
      </c>
    </row>
    <row r="27">
      <c r="A27" s="4">
        <f>A26+1</f>
        <v/>
      </c>
      <c r="B27" s="4">
        <f>B26+$B$6</f>
        <v/>
      </c>
      <c r="C27" s="4">
        <f>C26+$B$6*D26</f>
        <v/>
      </c>
      <c r="D27" s="4">
        <f>$B$3*C27^(2/3)-$B$4*C27</f>
        <v/>
      </c>
      <c r="E27" s="4">
        <f>( $B$8 + ($B$9-$B$8)*EXP(-$B$4*B27/3) )^3</f>
        <v/>
      </c>
      <c r="F27" s="4">
        <f>ABS(C27-E27)</f>
        <v/>
      </c>
    </row>
    <row r="28">
      <c r="A28" s="4">
        <f>A27+1</f>
        <v/>
      </c>
      <c r="B28" s="4">
        <f>B27+$B$6</f>
        <v/>
      </c>
      <c r="C28" s="4">
        <f>C27+$B$6*D27</f>
        <v/>
      </c>
      <c r="D28" s="4">
        <f>$B$3*C28^(2/3)-$B$4*C28</f>
        <v/>
      </c>
      <c r="E28" s="4">
        <f>( $B$8 + ($B$9-$B$8)*EXP(-$B$4*B28/3) )^3</f>
        <v/>
      </c>
      <c r="F28" s="4">
        <f>ABS(C28-E28)</f>
        <v/>
      </c>
    </row>
    <row r="29">
      <c r="A29" s="4">
        <f>A28+1</f>
        <v/>
      </c>
      <c r="B29" s="4">
        <f>B28+$B$6</f>
        <v/>
      </c>
      <c r="C29" s="4">
        <f>C28+$B$6*D28</f>
        <v/>
      </c>
      <c r="D29" s="4">
        <f>$B$3*C29^(2/3)-$B$4*C29</f>
        <v/>
      </c>
      <c r="E29" s="4">
        <f>( $B$8 + ($B$9-$B$8)*EXP(-$B$4*B29/3) )^3</f>
        <v/>
      </c>
      <c r="F29" s="4">
        <f>ABS(C29-E29)</f>
        <v/>
      </c>
    </row>
    <row r="30">
      <c r="A30" s="4">
        <f>A29+1</f>
        <v/>
      </c>
      <c r="B30" s="4">
        <f>B29+$B$6</f>
        <v/>
      </c>
      <c r="C30" s="4">
        <f>C29+$B$6*D29</f>
        <v/>
      </c>
      <c r="D30" s="4">
        <f>$B$3*C30^(2/3)-$B$4*C30</f>
        <v/>
      </c>
      <c r="E30" s="4">
        <f>( $B$8 + ($B$9-$B$8)*EXP(-$B$4*B30/3) )^3</f>
        <v/>
      </c>
      <c r="F30" s="4">
        <f>ABS(C30-E30)</f>
        <v/>
      </c>
    </row>
    <row r="31">
      <c r="A31" s="4">
        <f>A30+1</f>
        <v/>
      </c>
      <c r="B31" s="4">
        <f>B30+$B$6</f>
        <v/>
      </c>
      <c r="C31" s="4">
        <f>C30+$B$6*D30</f>
        <v/>
      </c>
      <c r="D31" s="4">
        <f>$B$3*C31^(2/3)-$B$4*C31</f>
        <v/>
      </c>
      <c r="E31" s="4">
        <f>( $B$8 + ($B$9-$B$8)*EXP(-$B$4*B31/3) )^3</f>
        <v/>
      </c>
      <c r="F31" s="4">
        <f>ABS(C31-E31)</f>
        <v/>
      </c>
    </row>
    <row r="32">
      <c r="A32" s="4">
        <f>A31+1</f>
        <v/>
      </c>
      <c r="B32" s="4">
        <f>B31+$B$6</f>
        <v/>
      </c>
      <c r="C32" s="4">
        <f>C31+$B$6*D31</f>
        <v/>
      </c>
      <c r="D32" s="4">
        <f>$B$3*C32^(2/3)-$B$4*C32</f>
        <v/>
      </c>
      <c r="E32" s="4">
        <f>( $B$8 + ($B$9-$B$8)*EXP(-$B$4*B32/3) )^3</f>
        <v/>
      </c>
      <c r="F32" s="4">
        <f>ABS(C32-E32)</f>
        <v/>
      </c>
    </row>
    <row r="33">
      <c r="A33" s="4">
        <f>A32+1</f>
        <v/>
      </c>
      <c r="B33" s="4">
        <f>B32+$B$6</f>
        <v/>
      </c>
      <c r="C33" s="4">
        <f>C32+$B$6*D32</f>
        <v/>
      </c>
      <c r="D33" s="4">
        <f>$B$3*C33^(2/3)-$B$4*C33</f>
        <v/>
      </c>
      <c r="E33" s="4">
        <f>( $B$8 + ($B$9-$B$8)*EXP(-$B$4*B33/3) )^3</f>
        <v/>
      </c>
      <c r="F33" s="4">
        <f>ABS(C33-E33)</f>
        <v/>
      </c>
    </row>
    <row r="34">
      <c r="A34" s="4">
        <f>A33+1</f>
        <v/>
      </c>
      <c r="B34" s="4">
        <f>B33+$B$6</f>
        <v/>
      </c>
      <c r="C34" s="4">
        <f>C33+$B$6*D33</f>
        <v/>
      </c>
      <c r="D34" s="4">
        <f>$B$3*C34^(2/3)-$B$4*C34</f>
        <v/>
      </c>
      <c r="E34" s="4">
        <f>( $B$8 + ($B$9-$B$8)*EXP(-$B$4*B34/3) )^3</f>
        <v/>
      </c>
      <c r="F34" s="4">
        <f>ABS(C34-E34)</f>
        <v/>
      </c>
    </row>
    <row r="35">
      <c r="A35" s="4">
        <f>A34+1</f>
        <v/>
      </c>
      <c r="B35" s="4">
        <f>B34+$B$6</f>
        <v/>
      </c>
      <c r="C35" s="4">
        <f>C34+$B$6*D34</f>
        <v/>
      </c>
      <c r="D35" s="4">
        <f>$B$3*C35^(2/3)-$B$4*C35</f>
        <v/>
      </c>
      <c r="E35" s="4">
        <f>( $B$8 + ($B$9-$B$8)*EXP(-$B$4*B35/3) )^3</f>
        <v/>
      </c>
      <c r="F35" s="4">
        <f>ABS(C35-E35)</f>
        <v/>
      </c>
    </row>
    <row r="36">
      <c r="A36" s="4">
        <f>A35+1</f>
        <v/>
      </c>
      <c r="B36" s="4">
        <f>B35+$B$6</f>
        <v/>
      </c>
      <c r="C36" s="4">
        <f>C35+$B$6*D35</f>
        <v/>
      </c>
      <c r="D36" s="4">
        <f>$B$3*C36^(2/3)-$B$4*C36</f>
        <v/>
      </c>
      <c r="E36" s="4">
        <f>( $B$8 + ($B$9-$B$8)*EXP(-$B$4*B36/3) )^3</f>
        <v/>
      </c>
      <c r="F36" s="4">
        <f>ABS(C36-E36)</f>
        <v/>
      </c>
    </row>
    <row r="37">
      <c r="A37" s="4">
        <f>A36+1</f>
        <v/>
      </c>
      <c r="B37" s="4">
        <f>B36+$B$6</f>
        <v/>
      </c>
      <c r="C37" s="4">
        <f>C36+$B$6*D36</f>
        <v/>
      </c>
      <c r="D37" s="4">
        <f>$B$3*C37^(2/3)-$B$4*C37</f>
        <v/>
      </c>
      <c r="E37" s="4">
        <f>( $B$8 + ($B$9-$B$8)*EXP(-$B$4*B37/3) )^3</f>
        <v/>
      </c>
      <c r="F37" s="4">
        <f>ABS(C37-E37)</f>
        <v/>
      </c>
    </row>
    <row r="38">
      <c r="A38" s="4">
        <f>A37+1</f>
        <v/>
      </c>
      <c r="B38" s="4">
        <f>B37+$B$6</f>
        <v/>
      </c>
      <c r="C38" s="4">
        <f>C37+$B$6*D37</f>
        <v/>
      </c>
      <c r="D38" s="4">
        <f>$B$3*C38^(2/3)-$B$4*C38</f>
        <v/>
      </c>
      <c r="E38" s="4">
        <f>( $B$8 + ($B$9-$B$8)*EXP(-$B$4*B38/3) )^3</f>
        <v/>
      </c>
      <c r="F38" s="4">
        <f>ABS(C38-E38)</f>
        <v/>
      </c>
    </row>
    <row r="39">
      <c r="A39" s="4">
        <f>A38+1</f>
        <v/>
      </c>
      <c r="B39" s="4">
        <f>B38+$B$6</f>
        <v/>
      </c>
      <c r="C39" s="4">
        <f>C38+$B$6*D38</f>
        <v/>
      </c>
      <c r="D39" s="4">
        <f>$B$3*C39^(2/3)-$B$4*C39</f>
        <v/>
      </c>
      <c r="E39" s="4">
        <f>( $B$8 + ($B$9-$B$8)*EXP(-$B$4*B39/3) )^3</f>
        <v/>
      </c>
      <c r="F39" s="4">
        <f>ABS(C39-E39)</f>
        <v/>
      </c>
    </row>
    <row r="40">
      <c r="A40" s="4">
        <f>A39+1</f>
        <v/>
      </c>
      <c r="B40" s="4">
        <f>B39+$B$6</f>
        <v/>
      </c>
      <c r="C40" s="4">
        <f>C39+$B$6*D39</f>
        <v/>
      </c>
      <c r="D40" s="4">
        <f>$B$3*C40^(2/3)-$B$4*C40</f>
        <v/>
      </c>
      <c r="E40" s="4">
        <f>( $B$8 + ($B$9-$B$8)*EXP(-$B$4*B40/3) )^3</f>
        <v/>
      </c>
      <c r="F40" s="4">
        <f>ABS(C40-E40)</f>
        <v/>
      </c>
    </row>
    <row r="41">
      <c r="A41" s="4">
        <f>A40+1</f>
        <v/>
      </c>
      <c r="B41" s="4">
        <f>B40+$B$6</f>
        <v/>
      </c>
      <c r="C41" s="4">
        <f>C40+$B$6*D40</f>
        <v/>
      </c>
      <c r="D41" s="4">
        <f>$B$3*C41^(2/3)-$B$4*C41</f>
        <v/>
      </c>
      <c r="E41" s="4">
        <f>( $B$8 + ($B$9-$B$8)*EXP(-$B$4*B41/3) )^3</f>
        <v/>
      </c>
      <c r="F41" s="4">
        <f>ABS(C41-E41)</f>
        <v/>
      </c>
    </row>
    <row r="42">
      <c r="A42" s="4">
        <f>A41+1</f>
        <v/>
      </c>
      <c r="B42" s="4">
        <f>B41+$B$6</f>
        <v/>
      </c>
      <c r="C42" s="4">
        <f>C41+$B$6*D41</f>
        <v/>
      </c>
      <c r="D42" s="4">
        <f>$B$3*C42^(2/3)-$B$4*C42</f>
        <v/>
      </c>
      <c r="E42" s="4">
        <f>( $B$8 + ($B$9-$B$8)*EXP(-$B$4*B42/3) )^3</f>
        <v/>
      </c>
      <c r="F42" s="4">
        <f>ABS(C42-E42)</f>
        <v/>
      </c>
    </row>
    <row r="43">
      <c r="A43" s="4">
        <f>A42+1</f>
        <v/>
      </c>
      <c r="B43" s="4">
        <f>B42+$B$6</f>
        <v/>
      </c>
      <c r="C43" s="4">
        <f>C42+$B$6*D42</f>
        <v/>
      </c>
      <c r="D43" s="4">
        <f>$B$3*C43^(2/3)-$B$4*C43</f>
        <v/>
      </c>
      <c r="E43" s="4">
        <f>( $B$8 + ($B$9-$B$8)*EXP(-$B$4*B43/3) )^3</f>
        <v/>
      </c>
      <c r="F43" s="4">
        <f>ABS(C43-E43)</f>
        <v/>
      </c>
    </row>
    <row r="44">
      <c r="A44" s="4">
        <f>A43+1</f>
        <v/>
      </c>
      <c r="B44" s="4">
        <f>B43+$B$6</f>
        <v/>
      </c>
      <c r="C44" s="4">
        <f>C43+$B$6*D43</f>
        <v/>
      </c>
      <c r="D44" s="4">
        <f>$B$3*C44^(2/3)-$B$4*C44</f>
        <v/>
      </c>
      <c r="E44" s="4">
        <f>( $B$8 + ($B$9-$B$8)*EXP(-$B$4*B44/3) )^3</f>
        <v/>
      </c>
      <c r="F44" s="4">
        <f>ABS(C44-E44)</f>
        <v/>
      </c>
    </row>
    <row r="45">
      <c r="A45" s="4">
        <f>A44+1</f>
        <v/>
      </c>
      <c r="B45" s="4">
        <f>B44+$B$6</f>
        <v/>
      </c>
      <c r="C45" s="4">
        <f>C44+$B$6*D44</f>
        <v/>
      </c>
      <c r="D45" s="4">
        <f>$B$3*C45^(2/3)-$B$4*C45</f>
        <v/>
      </c>
      <c r="E45" s="4">
        <f>( $B$8 + ($B$9-$B$8)*EXP(-$B$4*B45/3) )^3</f>
        <v/>
      </c>
      <c r="F45" s="4">
        <f>ABS(C45-E45)</f>
        <v/>
      </c>
    </row>
    <row r="46">
      <c r="A46" s="4">
        <f>A45+1</f>
        <v/>
      </c>
      <c r="B46" s="4">
        <f>B45+$B$6</f>
        <v/>
      </c>
      <c r="C46" s="4">
        <f>C45+$B$6*D45</f>
        <v/>
      </c>
      <c r="D46" s="4">
        <f>$B$3*C46^(2/3)-$B$4*C46</f>
        <v/>
      </c>
      <c r="E46" s="4">
        <f>( $B$8 + ($B$9-$B$8)*EXP(-$B$4*B46/3) )^3</f>
        <v/>
      </c>
      <c r="F46" s="4">
        <f>ABS(C46-E46)</f>
        <v/>
      </c>
    </row>
    <row r="47">
      <c r="A47" s="4">
        <f>A46+1</f>
        <v/>
      </c>
      <c r="B47" s="4">
        <f>B46+$B$6</f>
        <v/>
      </c>
      <c r="C47" s="4">
        <f>C46+$B$6*D46</f>
        <v/>
      </c>
      <c r="D47" s="4">
        <f>$B$3*C47^(2/3)-$B$4*C47</f>
        <v/>
      </c>
      <c r="E47" s="4">
        <f>( $B$8 + ($B$9-$B$8)*EXP(-$B$4*B47/3) )^3</f>
        <v/>
      </c>
      <c r="F47" s="4">
        <f>ABS(C47-E47)</f>
        <v/>
      </c>
    </row>
    <row r="48">
      <c r="A48" s="4">
        <f>A47+1</f>
        <v/>
      </c>
      <c r="B48" s="4">
        <f>B47+$B$6</f>
        <v/>
      </c>
      <c r="C48" s="4">
        <f>C47+$B$6*D47</f>
        <v/>
      </c>
      <c r="D48" s="4">
        <f>$B$3*C48^(2/3)-$B$4*C48</f>
        <v/>
      </c>
      <c r="E48" s="4">
        <f>( $B$8 + ($B$9-$B$8)*EXP(-$B$4*B48/3) )^3</f>
        <v/>
      </c>
      <c r="F48" s="4">
        <f>ABS(C48-E48)</f>
        <v/>
      </c>
    </row>
    <row r="49">
      <c r="A49" s="4">
        <f>A48+1</f>
        <v/>
      </c>
      <c r="B49" s="4">
        <f>B48+$B$6</f>
        <v/>
      </c>
      <c r="C49" s="4">
        <f>C48+$B$6*D48</f>
        <v/>
      </c>
      <c r="D49" s="4">
        <f>$B$3*C49^(2/3)-$B$4*C49</f>
        <v/>
      </c>
      <c r="E49" s="4">
        <f>( $B$8 + ($B$9-$B$8)*EXP(-$B$4*B49/3) )^3</f>
        <v/>
      </c>
      <c r="F49" s="4">
        <f>ABS(C49-E49)</f>
        <v/>
      </c>
    </row>
    <row r="50">
      <c r="A50" s="4">
        <f>A49+1</f>
        <v/>
      </c>
      <c r="B50" s="4">
        <f>B49+$B$6</f>
        <v/>
      </c>
      <c r="C50" s="4">
        <f>C49+$B$6*D49</f>
        <v/>
      </c>
      <c r="D50" s="4">
        <f>$B$3*C50^(2/3)-$B$4*C50</f>
        <v/>
      </c>
      <c r="E50" s="4">
        <f>( $B$8 + ($B$9-$B$8)*EXP(-$B$4*B50/3) )^3</f>
        <v/>
      </c>
      <c r="F50" s="4">
        <f>ABS(C50-E50)</f>
        <v/>
      </c>
    </row>
    <row r="51">
      <c r="A51" s="4">
        <f>A50+1</f>
        <v/>
      </c>
      <c r="B51" s="4">
        <f>B50+$B$6</f>
        <v/>
      </c>
      <c r="C51" s="4">
        <f>C50+$B$6*D50</f>
        <v/>
      </c>
      <c r="D51" s="4">
        <f>$B$3*C51^(2/3)-$B$4*C51</f>
        <v/>
      </c>
      <c r="E51" s="4">
        <f>( $B$8 + ($B$9-$B$8)*EXP(-$B$4*B51/3) )^3</f>
        <v/>
      </c>
      <c r="F51" s="4">
        <f>ABS(C51-E51)</f>
        <v/>
      </c>
    </row>
    <row r="52">
      <c r="A52" s="4">
        <f>A51+1</f>
        <v/>
      </c>
      <c r="B52" s="4">
        <f>B51+$B$6</f>
        <v/>
      </c>
      <c r="C52" s="4">
        <f>C51+$B$6*D51</f>
        <v/>
      </c>
      <c r="D52" s="4">
        <f>$B$3*C52^(2/3)-$B$4*C52</f>
        <v/>
      </c>
      <c r="E52" s="4">
        <f>( $B$8 + ($B$9-$B$8)*EXP(-$B$4*B52/3) )^3</f>
        <v/>
      </c>
      <c r="F52" s="4">
        <f>ABS(C52-E52)</f>
        <v/>
      </c>
    </row>
    <row r="53">
      <c r="A53" s="4">
        <f>A52+1</f>
        <v/>
      </c>
      <c r="B53" s="4">
        <f>B52+$B$6</f>
        <v/>
      </c>
      <c r="C53" s="4">
        <f>C52+$B$6*D52</f>
        <v/>
      </c>
      <c r="D53" s="4">
        <f>$B$3*C53^(2/3)-$B$4*C53</f>
        <v/>
      </c>
      <c r="E53" s="4">
        <f>( $B$8 + ($B$9-$B$8)*EXP(-$B$4*B53/3) )^3</f>
        <v/>
      </c>
      <c r="F53" s="4">
        <f>ABS(C53-E53)</f>
        <v/>
      </c>
    </row>
    <row r="54">
      <c r="A54" s="4">
        <f>A53+1</f>
        <v/>
      </c>
      <c r="B54" s="4">
        <f>B53+$B$6</f>
        <v/>
      </c>
      <c r="C54" s="4">
        <f>C53+$B$6*D53</f>
        <v/>
      </c>
      <c r="D54" s="4">
        <f>$B$3*C54^(2/3)-$B$4*C54</f>
        <v/>
      </c>
      <c r="E54" s="4">
        <f>( $B$8 + ($B$9-$B$8)*EXP(-$B$4*B54/3) )^3</f>
        <v/>
      </c>
      <c r="F54" s="4">
        <f>ABS(C54-E54)</f>
        <v/>
      </c>
    </row>
    <row r="55">
      <c r="A55" s="4">
        <f>A54+1</f>
        <v/>
      </c>
      <c r="B55" s="4">
        <f>B54+$B$6</f>
        <v/>
      </c>
      <c r="C55" s="4">
        <f>C54+$B$6*D54</f>
        <v/>
      </c>
      <c r="D55" s="4">
        <f>$B$3*C55^(2/3)-$B$4*C55</f>
        <v/>
      </c>
      <c r="E55" s="4">
        <f>( $B$8 + ($B$9-$B$8)*EXP(-$B$4*B55/3) )^3</f>
        <v/>
      </c>
      <c r="F55" s="4">
        <f>ABS(C55-E55)</f>
        <v/>
      </c>
    </row>
    <row r="56">
      <c r="A56" s="4">
        <f>A55+1</f>
        <v/>
      </c>
      <c r="B56" s="4">
        <f>B55+$B$6</f>
        <v/>
      </c>
      <c r="C56" s="4">
        <f>C55+$B$6*D55</f>
        <v/>
      </c>
      <c r="D56" s="4">
        <f>$B$3*C56^(2/3)-$B$4*C56</f>
        <v/>
      </c>
      <c r="E56" s="4">
        <f>( $B$8 + ($B$9-$B$8)*EXP(-$B$4*B56/3) )^3</f>
        <v/>
      </c>
      <c r="F56" s="4">
        <f>ABS(C56-E56)</f>
        <v/>
      </c>
    </row>
    <row r="57">
      <c r="A57" s="4">
        <f>A56+1</f>
        <v/>
      </c>
      <c r="B57" s="4">
        <f>B56+$B$6</f>
        <v/>
      </c>
      <c r="C57" s="4">
        <f>C56+$B$6*D56</f>
        <v/>
      </c>
      <c r="D57" s="4">
        <f>$B$3*C57^(2/3)-$B$4*C57</f>
        <v/>
      </c>
      <c r="E57" s="4">
        <f>( $B$8 + ($B$9-$B$8)*EXP(-$B$4*B57/3) )^3</f>
        <v/>
      </c>
      <c r="F57" s="4">
        <f>ABS(C57-E57)</f>
        <v/>
      </c>
    </row>
    <row r="58">
      <c r="A58" s="4">
        <f>A57+1</f>
        <v/>
      </c>
      <c r="B58" s="4">
        <f>B57+$B$6</f>
        <v/>
      </c>
      <c r="C58" s="4">
        <f>C57+$B$6*D57</f>
        <v/>
      </c>
      <c r="D58" s="4">
        <f>$B$3*C58^(2/3)-$B$4*C58</f>
        <v/>
      </c>
      <c r="E58" s="4">
        <f>( $B$8 + ($B$9-$B$8)*EXP(-$B$4*B58/3) )^3</f>
        <v/>
      </c>
      <c r="F58" s="4">
        <f>ABS(C58-E58)</f>
        <v/>
      </c>
    </row>
    <row r="59">
      <c r="A59" s="4">
        <f>A58+1</f>
        <v/>
      </c>
      <c r="B59" s="4">
        <f>B58+$B$6</f>
        <v/>
      </c>
      <c r="C59" s="4">
        <f>C58+$B$6*D58</f>
        <v/>
      </c>
      <c r="D59" s="4">
        <f>$B$3*C59^(2/3)-$B$4*C59</f>
        <v/>
      </c>
      <c r="E59" s="4">
        <f>( $B$8 + ($B$9-$B$8)*EXP(-$B$4*B59/3) )^3</f>
        <v/>
      </c>
      <c r="F59" s="4">
        <f>ABS(C59-E59)</f>
        <v/>
      </c>
    </row>
    <row r="60">
      <c r="A60" s="4">
        <f>A59+1</f>
        <v/>
      </c>
      <c r="B60" s="4">
        <f>B59+$B$6</f>
        <v/>
      </c>
      <c r="C60" s="4">
        <f>C59+$B$6*D59</f>
        <v/>
      </c>
      <c r="D60" s="4">
        <f>$B$3*C60^(2/3)-$B$4*C60</f>
        <v/>
      </c>
      <c r="E60" s="4">
        <f>( $B$8 + ($B$9-$B$8)*EXP(-$B$4*B60/3) )^3</f>
        <v/>
      </c>
      <c r="F60" s="4">
        <f>ABS(C60-E60)</f>
        <v/>
      </c>
    </row>
    <row r="61">
      <c r="A61" s="4">
        <f>A60+1</f>
        <v/>
      </c>
      <c r="B61" s="4">
        <f>B60+$B$6</f>
        <v/>
      </c>
      <c r="C61" s="4">
        <f>C60+$B$6*D60</f>
        <v/>
      </c>
      <c r="D61" s="4">
        <f>$B$3*C61^(2/3)-$B$4*C61</f>
        <v/>
      </c>
      <c r="E61" s="4">
        <f>( $B$8 + ($B$9-$B$8)*EXP(-$B$4*B61/3) )^3</f>
        <v/>
      </c>
      <c r="F61" s="4">
        <f>ABS(C61-E61)</f>
        <v/>
      </c>
    </row>
    <row r="62">
      <c r="A62" s="4">
        <f>A61+1</f>
        <v/>
      </c>
      <c r="B62" s="4">
        <f>B61+$B$6</f>
        <v/>
      </c>
      <c r="C62" s="4">
        <f>C61+$B$6*D61</f>
        <v/>
      </c>
      <c r="D62" s="4">
        <f>$B$3*C62^(2/3)-$B$4*C62</f>
        <v/>
      </c>
      <c r="E62" s="4">
        <f>( $B$8 + ($B$9-$B$8)*EXP(-$B$4*B62/3) )^3</f>
        <v/>
      </c>
      <c r="F62" s="4">
        <f>ABS(C62-E62)</f>
        <v/>
      </c>
    </row>
    <row r="63">
      <c r="A63" s="4">
        <f>A62+1</f>
        <v/>
      </c>
      <c r="B63" s="4">
        <f>B62+$B$6</f>
        <v/>
      </c>
      <c r="C63" s="4">
        <f>C62+$B$6*D62</f>
        <v/>
      </c>
      <c r="D63" s="4">
        <f>$B$3*C63^(2/3)-$B$4*C63</f>
        <v/>
      </c>
      <c r="E63" s="4">
        <f>( $B$8 + ($B$9-$B$8)*EXP(-$B$4*B63/3) )^3</f>
        <v/>
      </c>
      <c r="F63" s="4">
        <f>ABS(C63-E63)</f>
        <v/>
      </c>
    </row>
    <row r="64">
      <c r="A64" s="4">
        <f>A63+1</f>
        <v/>
      </c>
      <c r="B64" s="4">
        <f>B63+$B$6</f>
        <v/>
      </c>
      <c r="C64" s="4">
        <f>C63+$B$6*D63</f>
        <v/>
      </c>
      <c r="D64" s="4">
        <f>$B$3*C64^(2/3)-$B$4*C64</f>
        <v/>
      </c>
      <c r="E64" s="4">
        <f>( $B$8 + ($B$9-$B$8)*EXP(-$B$4*B64/3) )^3</f>
        <v/>
      </c>
      <c r="F64" s="4">
        <f>ABS(C64-E64)</f>
        <v/>
      </c>
    </row>
    <row r="65">
      <c r="A65" s="4">
        <f>A64+1</f>
        <v/>
      </c>
      <c r="B65" s="4">
        <f>B64+$B$6</f>
        <v/>
      </c>
      <c r="C65" s="4">
        <f>C64+$B$6*D64</f>
        <v/>
      </c>
      <c r="D65" s="4">
        <f>$B$3*C65^(2/3)-$B$4*C65</f>
        <v/>
      </c>
      <c r="E65" s="4">
        <f>( $B$8 + ($B$9-$B$8)*EXP(-$B$4*B65/3) )^3</f>
        <v/>
      </c>
      <c r="F65" s="4">
        <f>ABS(C65-E65)</f>
        <v/>
      </c>
    </row>
    <row r="66">
      <c r="A66" s="4">
        <f>A65+1</f>
        <v/>
      </c>
      <c r="B66" s="4">
        <f>B65+$B$6</f>
        <v/>
      </c>
      <c r="C66" s="4">
        <f>C65+$B$6*D65</f>
        <v/>
      </c>
      <c r="D66" s="4">
        <f>$B$3*C66^(2/3)-$B$4*C66</f>
        <v/>
      </c>
      <c r="E66" s="4">
        <f>( $B$8 + ($B$9-$B$8)*EXP(-$B$4*B66/3) )^3</f>
        <v/>
      </c>
      <c r="F66" s="4">
        <f>ABS(C66-E66)</f>
        <v/>
      </c>
    </row>
    <row r="67">
      <c r="A67" s="4">
        <f>A66+1</f>
        <v/>
      </c>
      <c r="B67" s="4">
        <f>B66+$B$6</f>
        <v/>
      </c>
      <c r="C67" s="4">
        <f>C66+$B$6*D66</f>
        <v/>
      </c>
      <c r="D67" s="4">
        <f>$B$3*C67^(2/3)-$B$4*C67</f>
        <v/>
      </c>
      <c r="E67" s="4">
        <f>( $B$8 + ($B$9-$B$8)*EXP(-$B$4*B67/3) )^3</f>
        <v/>
      </c>
      <c r="F67" s="4">
        <f>ABS(C67-E67)</f>
        <v/>
      </c>
    </row>
    <row r="68">
      <c r="A68" s="4">
        <f>A67+1</f>
        <v/>
      </c>
      <c r="B68" s="4">
        <f>B67+$B$6</f>
        <v/>
      </c>
      <c r="C68" s="4">
        <f>C67+$B$6*D67</f>
        <v/>
      </c>
      <c r="D68" s="4">
        <f>$B$3*C68^(2/3)-$B$4*C68</f>
        <v/>
      </c>
      <c r="E68" s="4">
        <f>( $B$8 + ($B$9-$B$8)*EXP(-$B$4*B68/3) )^3</f>
        <v/>
      </c>
      <c r="F68" s="4">
        <f>ABS(C68-E68)</f>
        <v/>
      </c>
    </row>
    <row r="69">
      <c r="A69" s="4">
        <f>A68+1</f>
        <v/>
      </c>
      <c r="B69" s="4">
        <f>B68+$B$6</f>
        <v/>
      </c>
      <c r="C69" s="4">
        <f>C68+$B$6*D68</f>
        <v/>
      </c>
      <c r="D69" s="4">
        <f>$B$3*C69^(2/3)-$B$4*C69</f>
        <v/>
      </c>
      <c r="E69" s="4">
        <f>( $B$8 + ($B$9-$B$8)*EXP(-$B$4*B69/3) )^3</f>
        <v/>
      </c>
      <c r="F69" s="4">
        <f>ABS(C69-E69)</f>
        <v/>
      </c>
    </row>
    <row r="70">
      <c r="A70" s="4">
        <f>A69+1</f>
        <v/>
      </c>
      <c r="B70" s="4">
        <f>B69+$B$6</f>
        <v/>
      </c>
      <c r="C70" s="4">
        <f>C69+$B$6*D69</f>
        <v/>
      </c>
      <c r="D70" s="4">
        <f>$B$3*C70^(2/3)-$B$4*C70</f>
        <v/>
      </c>
      <c r="E70" s="4">
        <f>( $B$8 + ($B$9-$B$8)*EXP(-$B$4*B70/3) )^3</f>
        <v/>
      </c>
      <c r="F70" s="4">
        <f>ABS(C70-E70)</f>
        <v/>
      </c>
    </row>
    <row r="71">
      <c r="A71" s="4">
        <f>A70+1</f>
        <v/>
      </c>
      <c r="B71" s="4">
        <f>B70+$B$6</f>
        <v/>
      </c>
      <c r="C71" s="4">
        <f>C70+$B$6*D70</f>
        <v/>
      </c>
      <c r="D71" s="4">
        <f>$B$3*C71^(2/3)-$B$4*C71</f>
        <v/>
      </c>
      <c r="E71" s="4">
        <f>( $B$8 + ($B$9-$B$8)*EXP(-$B$4*B71/3) )^3</f>
        <v/>
      </c>
      <c r="F71" s="4">
        <f>ABS(C71-E71)</f>
        <v/>
      </c>
    </row>
    <row r="72">
      <c r="A72" s="4">
        <f>A71+1</f>
        <v/>
      </c>
      <c r="B72" s="4">
        <f>B71+$B$6</f>
        <v/>
      </c>
      <c r="C72" s="4">
        <f>C71+$B$6*D71</f>
        <v/>
      </c>
      <c r="D72" s="4">
        <f>$B$3*C72^(2/3)-$B$4*C72</f>
        <v/>
      </c>
      <c r="E72" s="4">
        <f>( $B$8 + ($B$9-$B$8)*EXP(-$B$4*B72/3) )^3</f>
        <v/>
      </c>
      <c r="F72" s="4">
        <f>ABS(C72-E72)</f>
        <v/>
      </c>
    </row>
    <row r="73">
      <c r="A73" s="4">
        <f>A72+1</f>
        <v/>
      </c>
      <c r="B73" s="4">
        <f>B72+$B$6</f>
        <v/>
      </c>
      <c r="C73" s="4">
        <f>C72+$B$6*D72</f>
        <v/>
      </c>
      <c r="D73" s="4">
        <f>$B$3*C73^(2/3)-$B$4*C73</f>
        <v/>
      </c>
      <c r="E73" s="4">
        <f>( $B$8 + ($B$9-$B$8)*EXP(-$B$4*B73/3) )^3</f>
        <v/>
      </c>
      <c r="F73" s="4">
        <f>ABS(C73-E73)</f>
        <v/>
      </c>
    </row>
    <row r="74">
      <c r="A74" s="4">
        <f>A73+1</f>
        <v/>
      </c>
      <c r="B74" s="4">
        <f>B73+$B$6</f>
        <v/>
      </c>
      <c r="C74" s="4">
        <f>C73+$B$6*D73</f>
        <v/>
      </c>
      <c r="D74" s="4">
        <f>$B$3*C74^(2/3)-$B$4*C74</f>
        <v/>
      </c>
      <c r="E74" s="4">
        <f>( $B$8 + ($B$9-$B$8)*EXP(-$B$4*B74/3) )^3</f>
        <v/>
      </c>
      <c r="F74" s="4">
        <f>ABS(C74-E74)</f>
        <v/>
      </c>
    </row>
    <row r="75">
      <c r="A75" s="4">
        <f>A74+1</f>
        <v/>
      </c>
      <c r="B75" s="4">
        <f>B74+$B$6</f>
        <v/>
      </c>
      <c r="C75" s="4">
        <f>C74+$B$6*D74</f>
        <v/>
      </c>
      <c r="D75" s="4">
        <f>$B$3*C75^(2/3)-$B$4*C75</f>
        <v/>
      </c>
      <c r="E75" s="4">
        <f>( $B$8 + ($B$9-$B$8)*EXP(-$B$4*B75/3) )^3</f>
        <v/>
      </c>
      <c r="F75" s="4">
        <f>ABS(C75-E75)</f>
        <v/>
      </c>
    </row>
    <row r="76">
      <c r="A76" s="4">
        <f>A75+1</f>
        <v/>
      </c>
      <c r="B76" s="4">
        <f>B75+$B$6</f>
        <v/>
      </c>
      <c r="C76" s="4">
        <f>C75+$B$6*D75</f>
        <v/>
      </c>
      <c r="D76" s="4">
        <f>$B$3*C76^(2/3)-$B$4*C76</f>
        <v/>
      </c>
      <c r="E76" s="4">
        <f>( $B$8 + ($B$9-$B$8)*EXP(-$B$4*B76/3) )^3</f>
        <v/>
      </c>
      <c r="F76" s="4">
        <f>ABS(C76-E76)</f>
        <v/>
      </c>
    </row>
    <row r="77">
      <c r="A77" s="4">
        <f>A76+1</f>
        <v/>
      </c>
      <c r="B77" s="4">
        <f>B76+$B$6</f>
        <v/>
      </c>
      <c r="C77" s="4">
        <f>C76+$B$6*D76</f>
        <v/>
      </c>
      <c r="D77" s="4">
        <f>$B$3*C77^(2/3)-$B$4*C77</f>
        <v/>
      </c>
      <c r="E77" s="4">
        <f>( $B$8 + ($B$9-$B$8)*EXP(-$B$4*B77/3) )^3</f>
        <v/>
      </c>
      <c r="F77" s="4">
        <f>ABS(C77-E77)</f>
        <v/>
      </c>
    </row>
    <row r="78">
      <c r="A78" s="4">
        <f>A77+1</f>
        <v/>
      </c>
      <c r="B78" s="4">
        <f>B77+$B$6</f>
        <v/>
      </c>
      <c r="C78" s="4">
        <f>C77+$B$6*D77</f>
        <v/>
      </c>
      <c r="D78" s="4">
        <f>$B$3*C78^(2/3)-$B$4*C78</f>
        <v/>
      </c>
      <c r="E78" s="4">
        <f>( $B$8 + ($B$9-$B$8)*EXP(-$B$4*B78/3) )^3</f>
        <v/>
      </c>
      <c r="F78" s="4">
        <f>ABS(C78-E78)</f>
        <v/>
      </c>
    </row>
    <row r="79">
      <c r="A79" s="4">
        <f>A78+1</f>
        <v/>
      </c>
      <c r="B79" s="4">
        <f>B78+$B$6</f>
        <v/>
      </c>
      <c r="C79" s="4">
        <f>C78+$B$6*D78</f>
        <v/>
      </c>
      <c r="D79" s="4">
        <f>$B$3*C79^(2/3)-$B$4*C79</f>
        <v/>
      </c>
      <c r="E79" s="4">
        <f>( $B$8 + ($B$9-$B$8)*EXP(-$B$4*B79/3) )^3</f>
        <v/>
      </c>
      <c r="F79" s="4">
        <f>ABS(C79-E79)</f>
        <v/>
      </c>
    </row>
    <row r="80">
      <c r="A80" s="4">
        <f>A79+1</f>
        <v/>
      </c>
      <c r="B80" s="4">
        <f>B79+$B$6</f>
        <v/>
      </c>
      <c r="C80" s="4">
        <f>C79+$B$6*D79</f>
        <v/>
      </c>
      <c r="D80" s="4">
        <f>$B$3*C80^(2/3)-$B$4*C80</f>
        <v/>
      </c>
      <c r="E80" s="4">
        <f>( $B$8 + ($B$9-$B$8)*EXP(-$B$4*B80/3) )^3</f>
        <v/>
      </c>
      <c r="F80" s="4">
        <f>ABS(C80-E80)</f>
        <v/>
      </c>
    </row>
    <row r="81">
      <c r="A81" s="4">
        <f>A80+1</f>
        <v/>
      </c>
      <c r="B81" s="4">
        <f>B80+$B$6</f>
        <v/>
      </c>
      <c r="C81" s="4">
        <f>C80+$B$6*D80</f>
        <v/>
      </c>
      <c r="D81" s="4">
        <f>$B$3*C81^(2/3)-$B$4*C81</f>
        <v/>
      </c>
      <c r="E81" s="4">
        <f>( $B$8 + ($B$9-$B$8)*EXP(-$B$4*B81/3) )^3</f>
        <v/>
      </c>
      <c r="F81" s="4">
        <f>ABS(C81-E81)</f>
        <v/>
      </c>
    </row>
    <row r="82">
      <c r="A82" s="4">
        <f>A81+1</f>
        <v/>
      </c>
      <c r="B82" s="4">
        <f>B81+$B$6</f>
        <v/>
      </c>
      <c r="C82" s="4">
        <f>C81+$B$6*D81</f>
        <v/>
      </c>
      <c r="D82" s="4">
        <f>$B$3*C82^(2/3)-$B$4*C82</f>
        <v/>
      </c>
      <c r="E82" s="4">
        <f>( $B$8 + ($B$9-$B$8)*EXP(-$B$4*B82/3) )^3</f>
        <v/>
      </c>
      <c r="F82" s="4">
        <f>ABS(C82-E82)</f>
        <v/>
      </c>
    </row>
    <row r="83">
      <c r="A83" s="4">
        <f>A82+1</f>
        <v/>
      </c>
      <c r="B83" s="4">
        <f>B82+$B$6</f>
        <v/>
      </c>
      <c r="C83" s="4">
        <f>C82+$B$6*D82</f>
        <v/>
      </c>
      <c r="D83" s="4">
        <f>$B$3*C83^(2/3)-$B$4*C83</f>
        <v/>
      </c>
      <c r="E83" s="4">
        <f>( $B$8 + ($B$9-$B$8)*EXP(-$B$4*B83/3) )^3</f>
        <v/>
      </c>
      <c r="F83" s="4">
        <f>ABS(C83-E83)</f>
        <v/>
      </c>
    </row>
    <row r="84">
      <c r="A84" s="4">
        <f>A83+1</f>
        <v/>
      </c>
      <c r="B84" s="4">
        <f>B83+$B$6</f>
        <v/>
      </c>
      <c r="C84" s="4">
        <f>C83+$B$6*D83</f>
        <v/>
      </c>
      <c r="D84" s="4">
        <f>$B$3*C84^(2/3)-$B$4*C84</f>
        <v/>
      </c>
      <c r="E84" s="4">
        <f>( $B$8 + ($B$9-$B$8)*EXP(-$B$4*B84/3) )^3</f>
        <v/>
      </c>
      <c r="F84" s="4">
        <f>ABS(C84-E84)</f>
        <v/>
      </c>
    </row>
    <row r="85">
      <c r="A85" s="4">
        <f>A84+1</f>
        <v/>
      </c>
      <c r="B85" s="4">
        <f>B84+$B$6</f>
        <v/>
      </c>
      <c r="C85" s="4">
        <f>C84+$B$6*D84</f>
        <v/>
      </c>
      <c r="D85" s="4">
        <f>$B$3*C85^(2/3)-$B$4*C85</f>
        <v/>
      </c>
      <c r="E85" s="4">
        <f>( $B$8 + ($B$9-$B$8)*EXP(-$B$4*B85/3) )^3</f>
        <v/>
      </c>
      <c r="F85" s="4">
        <f>ABS(C85-E85)</f>
        <v/>
      </c>
    </row>
    <row r="86">
      <c r="A86" s="4">
        <f>A85+1</f>
        <v/>
      </c>
      <c r="B86" s="4">
        <f>B85+$B$6</f>
        <v/>
      </c>
      <c r="C86" s="4">
        <f>C85+$B$6*D85</f>
        <v/>
      </c>
      <c r="D86" s="4">
        <f>$B$3*C86^(2/3)-$B$4*C86</f>
        <v/>
      </c>
      <c r="E86" s="4">
        <f>( $B$8 + ($B$9-$B$8)*EXP(-$B$4*B86/3) )^3</f>
        <v/>
      </c>
      <c r="F86" s="4">
        <f>ABS(C86-E86)</f>
        <v/>
      </c>
    </row>
    <row r="87">
      <c r="A87" s="4">
        <f>A86+1</f>
        <v/>
      </c>
      <c r="B87" s="4">
        <f>B86+$B$6</f>
        <v/>
      </c>
      <c r="C87" s="4">
        <f>C86+$B$6*D86</f>
        <v/>
      </c>
      <c r="D87" s="4">
        <f>$B$3*C87^(2/3)-$B$4*C87</f>
        <v/>
      </c>
      <c r="E87" s="4">
        <f>( $B$8 + ($B$9-$B$8)*EXP(-$B$4*B87/3) )^3</f>
        <v/>
      </c>
      <c r="F87" s="4">
        <f>ABS(C87-E87)</f>
        <v/>
      </c>
    </row>
    <row r="88">
      <c r="A88" s="4">
        <f>A87+1</f>
        <v/>
      </c>
      <c r="B88" s="4">
        <f>B87+$B$6</f>
        <v/>
      </c>
      <c r="C88" s="4">
        <f>C87+$B$6*D87</f>
        <v/>
      </c>
      <c r="D88" s="4">
        <f>$B$3*C88^(2/3)-$B$4*C88</f>
        <v/>
      </c>
      <c r="E88" s="4">
        <f>( $B$8 + ($B$9-$B$8)*EXP(-$B$4*B88/3) )^3</f>
        <v/>
      </c>
      <c r="F88" s="4">
        <f>ABS(C88-E88)</f>
        <v/>
      </c>
    </row>
    <row r="89">
      <c r="A89" s="4">
        <f>A88+1</f>
        <v/>
      </c>
      <c r="B89" s="4">
        <f>B88+$B$6</f>
        <v/>
      </c>
      <c r="C89" s="4">
        <f>C88+$B$6*D88</f>
        <v/>
      </c>
      <c r="D89" s="4">
        <f>$B$3*C89^(2/3)-$B$4*C89</f>
        <v/>
      </c>
      <c r="E89" s="4">
        <f>( $B$8 + ($B$9-$B$8)*EXP(-$B$4*B89/3) )^3</f>
        <v/>
      </c>
      <c r="F89" s="4">
        <f>ABS(C89-E89)</f>
        <v/>
      </c>
    </row>
    <row r="90">
      <c r="A90" s="4">
        <f>A89+1</f>
        <v/>
      </c>
      <c r="B90" s="4">
        <f>B89+$B$6</f>
        <v/>
      </c>
      <c r="C90" s="4">
        <f>C89+$B$6*D89</f>
        <v/>
      </c>
      <c r="D90" s="4">
        <f>$B$3*C90^(2/3)-$B$4*C90</f>
        <v/>
      </c>
      <c r="E90" s="4">
        <f>( $B$8 + ($B$9-$B$8)*EXP(-$B$4*B90/3) )^3</f>
        <v/>
      </c>
      <c r="F90" s="4">
        <f>ABS(C90-E90)</f>
        <v/>
      </c>
    </row>
    <row r="91">
      <c r="A91" s="4">
        <f>A90+1</f>
        <v/>
      </c>
      <c r="B91" s="4">
        <f>B90+$B$6</f>
        <v/>
      </c>
      <c r="C91" s="4">
        <f>C90+$B$6*D90</f>
        <v/>
      </c>
      <c r="D91" s="4">
        <f>$B$3*C91^(2/3)-$B$4*C91</f>
        <v/>
      </c>
      <c r="E91" s="4">
        <f>( $B$8 + ($B$9-$B$8)*EXP(-$B$4*B91/3) )^3</f>
        <v/>
      </c>
      <c r="F91" s="4">
        <f>ABS(C91-E91)</f>
        <v/>
      </c>
    </row>
    <row r="92">
      <c r="A92" s="4">
        <f>A91+1</f>
        <v/>
      </c>
      <c r="B92" s="4">
        <f>B91+$B$6</f>
        <v/>
      </c>
      <c r="C92" s="4">
        <f>C91+$B$6*D91</f>
        <v/>
      </c>
      <c r="D92" s="4">
        <f>$B$3*C92^(2/3)-$B$4*C92</f>
        <v/>
      </c>
      <c r="E92" s="4">
        <f>( $B$8 + ($B$9-$B$8)*EXP(-$B$4*B92/3) )^3</f>
        <v/>
      </c>
      <c r="F92" s="4">
        <f>ABS(C92-E92)</f>
        <v/>
      </c>
    </row>
    <row r="93">
      <c r="A93" s="4">
        <f>A92+1</f>
        <v/>
      </c>
      <c r="B93" s="4">
        <f>B92+$B$6</f>
        <v/>
      </c>
      <c r="C93" s="4">
        <f>C92+$B$6*D92</f>
        <v/>
      </c>
      <c r="D93" s="4">
        <f>$B$3*C93^(2/3)-$B$4*C93</f>
        <v/>
      </c>
      <c r="E93" s="4">
        <f>( $B$8 + ($B$9-$B$8)*EXP(-$B$4*B93/3) )^3</f>
        <v/>
      </c>
      <c r="F93" s="4">
        <f>ABS(C93-E93)</f>
        <v/>
      </c>
    </row>
    <row r="94">
      <c r="A94" s="4">
        <f>A93+1</f>
        <v/>
      </c>
      <c r="B94" s="4">
        <f>B93+$B$6</f>
        <v/>
      </c>
      <c r="C94" s="4">
        <f>C93+$B$6*D93</f>
        <v/>
      </c>
      <c r="D94" s="4">
        <f>$B$3*C94^(2/3)-$B$4*C94</f>
        <v/>
      </c>
      <c r="E94" s="4">
        <f>( $B$8 + ($B$9-$B$8)*EXP(-$B$4*B94/3) )^3</f>
        <v/>
      </c>
      <c r="F94" s="4">
        <f>ABS(C94-E94)</f>
        <v/>
      </c>
    </row>
    <row r="95">
      <c r="A95" s="4">
        <f>A94+1</f>
        <v/>
      </c>
      <c r="B95" s="4">
        <f>B94+$B$6</f>
        <v/>
      </c>
      <c r="C95" s="4">
        <f>C94+$B$6*D94</f>
        <v/>
      </c>
      <c r="D95" s="4">
        <f>$B$3*C95^(2/3)-$B$4*C95</f>
        <v/>
      </c>
      <c r="E95" s="4">
        <f>( $B$8 + ($B$9-$B$8)*EXP(-$B$4*B95/3) )^3</f>
        <v/>
      </c>
      <c r="F95" s="4">
        <f>ABS(C95-E95)</f>
        <v/>
      </c>
    </row>
    <row r="96">
      <c r="A96" s="4">
        <f>A95+1</f>
        <v/>
      </c>
      <c r="B96" s="4">
        <f>B95+$B$6</f>
        <v/>
      </c>
      <c r="C96" s="4">
        <f>C95+$B$6*D95</f>
        <v/>
      </c>
      <c r="D96" s="4">
        <f>$B$3*C96^(2/3)-$B$4*C96</f>
        <v/>
      </c>
      <c r="E96" s="4">
        <f>( $B$8 + ($B$9-$B$8)*EXP(-$B$4*B96/3) )^3</f>
        <v/>
      </c>
      <c r="F96" s="4">
        <f>ABS(C96-E96)</f>
        <v/>
      </c>
    </row>
    <row r="97">
      <c r="A97" s="4">
        <f>A96+1</f>
        <v/>
      </c>
      <c r="B97" s="4">
        <f>B96+$B$6</f>
        <v/>
      </c>
      <c r="C97" s="4">
        <f>C96+$B$6*D96</f>
        <v/>
      </c>
      <c r="D97" s="4">
        <f>$B$3*C97^(2/3)-$B$4*C97</f>
        <v/>
      </c>
      <c r="E97" s="4">
        <f>( $B$8 + ($B$9-$B$8)*EXP(-$B$4*B97/3) )^3</f>
        <v/>
      </c>
      <c r="F97" s="4">
        <f>ABS(C97-E97)</f>
        <v/>
      </c>
    </row>
    <row r="98">
      <c r="A98" s="4">
        <f>A97+1</f>
        <v/>
      </c>
      <c r="B98" s="4">
        <f>B97+$B$6</f>
        <v/>
      </c>
      <c r="C98" s="4">
        <f>C97+$B$6*D97</f>
        <v/>
      </c>
      <c r="D98" s="4">
        <f>$B$3*C98^(2/3)-$B$4*C98</f>
        <v/>
      </c>
      <c r="E98" s="4">
        <f>( $B$8 + ($B$9-$B$8)*EXP(-$B$4*B98/3) )^3</f>
        <v/>
      </c>
      <c r="F98" s="4">
        <f>ABS(C98-E98)</f>
        <v/>
      </c>
    </row>
    <row r="99">
      <c r="A99" s="4">
        <f>A98+1</f>
        <v/>
      </c>
      <c r="B99" s="4">
        <f>B98+$B$6</f>
        <v/>
      </c>
      <c r="C99" s="4">
        <f>C98+$B$6*D98</f>
        <v/>
      </c>
      <c r="D99" s="4">
        <f>$B$3*C99^(2/3)-$B$4*C99</f>
        <v/>
      </c>
      <c r="E99" s="4">
        <f>( $B$8 + ($B$9-$B$8)*EXP(-$B$4*B99/3) )^3</f>
        <v/>
      </c>
      <c r="F99" s="4">
        <f>ABS(C99-E99)</f>
        <v/>
      </c>
    </row>
    <row r="100">
      <c r="A100" s="4">
        <f>A99+1</f>
        <v/>
      </c>
      <c r="B100" s="4">
        <f>B99+$B$6</f>
        <v/>
      </c>
      <c r="C100" s="4">
        <f>C99+$B$6*D99</f>
        <v/>
      </c>
      <c r="D100" s="4">
        <f>$B$3*C100^(2/3)-$B$4*C100</f>
        <v/>
      </c>
      <c r="E100" s="4">
        <f>( $B$8 + ($B$9-$B$8)*EXP(-$B$4*B100/3) )^3</f>
        <v/>
      </c>
      <c r="F100" s="4">
        <f>ABS(C100-E100)</f>
        <v/>
      </c>
    </row>
    <row r="101">
      <c r="A101" s="4">
        <f>A100+1</f>
        <v/>
      </c>
      <c r="B101" s="4">
        <f>B100+$B$6</f>
        <v/>
      </c>
      <c r="C101" s="4">
        <f>C100+$B$6*D100</f>
        <v/>
      </c>
      <c r="D101" s="4">
        <f>$B$3*C101^(2/3)-$B$4*C101</f>
        <v/>
      </c>
      <c r="E101" s="4">
        <f>( $B$8 + ($B$9-$B$8)*EXP(-$B$4*B101/3) )^3</f>
        <v/>
      </c>
      <c r="F101" s="4">
        <f>ABS(C101-E101)</f>
        <v/>
      </c>
    </row>
    <row r="102">
      <c r="A102" s="4">
        <f>A101+1</f>
        <v/>
      </c>
      <c r="B102" s="4">
        <f>B101+$B$6</f>
        <v/>
      </c>
      <c r="C102" s="4">
        <f>C101+$B$6*D101</f>
        <v/>
      </c>
      <c r="D102" s="4">
        <f>$B$3*C102^(2/3)-$B$4*C102</f>
        <v/>
      </c>
      <c r="E102" s="4">
        <f>( $B$8 + ($B$9-$B$8)*EXP(-$B$4*B102/3) )^3</f>
        <v/>
      </c>
      <c r="F102" s="4">
        <f>ABS(C102-E102)</f>
        <v/>
      </c>
    </row>
    <row r="103">
      <c r="A103" s="4">
        <f>A102+1</f>
        <v/>
      </c>
      <c r="B103" s="4">
        <f>B102+$B$6</f>
        <v/>
      </c>
      <c r="C103" s="4">
        <f>C102+$B$6*D102</f>
        <v/>
      </c>
      <c r="D103" s="4">
        <f>$B$3*C103^(2/3)-$B$4*C103</f>
        <v/>
      </c>
      <c r="E103" s="4">
        <f>( $B$8 + ($B$9-$B$8)*EXP(-$B$4*B103/3) )^3</f>
        <v/>
      </c>
      <c r="F103" s="4">
        <f>ABS(C103-E103)</f>
        <v/>
      </c>
    </row>
    <row r="104">
      <c r="A104" s="4">
        <f>A103+1</f>
        <v/>
      </c>
      <c r="B104" s="4">
        <f>B103+$B$6</f>
        <v/>
      </c>
      <c r="C104" s="4">
        <f>C103+$B$6*D103</f>
        <v/>
      </c>
      <c r="D104" s="4">
        <f>$B$3*C104^(2/3)-$B$4*C104</f>
        <v/>
      </c>
      <c r="E104" s="4">
        <f>( $B$8 + ($B$9-$B$8)*EXP(-$B$4*B104/3) )^3</f>
        <v/>
      </c>
      <c r="F104" s="4">
        <f>ABS(C104-E104)</f>
        <v/>
      </c>
    </row>
    <row r="105">
      <c r="A105" s="4">
        <f>A104+1</f>
        <v/>
      </c>
      <c r="B105" s="4">
        <f>B104+$B$6</f>
        <v/>
      </c>
      <c r="C105" s="4">
        <f>C104+$B$6*D104</f>
        <v/>
      </c>
      <c r="D105" s="4">
        <f>$B$3*C105^(2/3)-$B$4*C105</f>
        <v/>
      </c>
      <c r="E105" s="4">
        <f>( $B$8 + ($B$9-$B$8)*EXP(-$B$4*B105/3) )^3</f>
        <v/>
      </c>
      <c r="F105" s="4">
        <f>ABS(C105-E105)</f>
        <v/>
      </c>
    </row>
    <row r="106">
      <c r="A106" s="4">
        <f>A105+1</f>
        <v/>
      </c>
      <c r="B106" s="4">
        <f>B105+$B$6</f>
        <v/>
      </c>
      <c r="C106" s="4">
        <f>C105+$B$6*D105</f>
        <v/>
      </c>
      <c r="D106" s="4">
        <f>$B$3*C106^(2/3)-$B$4*C106</f>
        <v/>
      </c>
      <c r="E106" s="4">
        <f>( $B$8 + ($B$9-$B$8)*EXP(-$B$4*B106/3) )^3</f>
        <v/>
      </c>
      <c r="F106" s="4">
        <f>ABS(C106-E106)</f>
        <v/>
      </c>
    </row>
    <row r="107">
      <c r="A107" s="4">
        <f>A106+1</f>
        <v/>
      </c>
      <c r="B107" s="4">
        <f>B106+$B$6</f>
        <v/>
      </c>
      <c r="C107" s="4">
        <f>C106+$B$6*D106</f>
        <v/>
      </c>
      <c r="D107" s="4">
        <f>$B$3*C107^(2/3)-$B$4*C107</f>
        <v/>
      </c>
      <c r="E107" s="4">
        <f>( $B$8 + ($B$9-$B$8)*EXP(-$B$4*B107/3) )^3</f>
        <v/>
      </c>
      <c r="F107" s="4">
        <f>ABS(C107-E107)</f>
        <v/>
      </c>
    </row>
    <row r="108">
      <c r="A108" s="4">
        <f>A107+1</f>
        <v/>
      </c>
      <c r="B108" s="4">
        <f>B107+$B$6</f>
        <v/>
      </c>
      <c r="C108" s="4">
        <f>C107+$B$6*D107</f>
        <v/>
      </c>
      <c r="D108" s="4">
        <f>$B$3*C108^(2/3)-$B$4*C108</f>
        <v/>
      </c>
      <c r="E108" s="4">
        <f>( $B$8 + ($B$9-$B$8)*EXP(-$B$4*B108/3) )^3</f>
        <v/>
      </c>
      <c r="F108" s="4">
        <f>ABS(C108-E108)</f>
        <v/>
      </c>
    </row>
    <row r="109">
      <c r="A109" s="4">
        <f>A108+1</f>
        <v/>
      </c>
      <c r="B109" s="4">
        <f>B108+$B$6</f>
        <v/>
      </c>
      <c r="C109" s="4">
        <f>C108+$B$6*D108</f>
        <v/>
      </c>
      <c r="D109" s="4">
        <f>$B$3*C109^(2/3)-$B$4*C109</f>
        <v/>
      </c>
      <c r="E109" s="4">
        <f>( $B$8 + ($B$9-$B$8)*EXP(-$B$4*B109/3) )^3</f>
        <v/>
      </c>
      <c r="F109" s="4">
        <f>ABS(C109-E109)</f>
        <v/>
      </c>
    </row>
    <row r="110">
      <c r="A110" s="4">
        <f>A109+1</f>
        <v/>
      </c>
      <c r="B110" s="4">
        <f>B109+$B$6</f>
        <v/>
      </c>
      <c r="C110" s="4">
        <f>C109+$B$6*D109</f>
        <v/>
      </c>
      <c r="D110" s="4">
        <f>$B$3*C110^(2/3)-$B$4*C110</f>
        <v/>
      </c>
      <c r="E110" s="4">
        <f>( $B$8 + ($B$9-$B$8)*EXP(-$B$4*B110/3) )^3</f>
        <v/>
      </c>
      <c r="F110" s="4">
        <f>ABS(C110-E110)</f>
        <v/>
      </c>
    </row>
    <row r="111">
      <c r="A111" s="4">
        <f>A110+1</f>
        <v/>
      </c>
      <c r="B111" s="4">
        <f>B110+$B$6</f>
        <v/>
      </c>
      <c r="C111" s="4">
        <f>C110+$B$6*D110</f>
        <v/>
      </c>
      <c r="D111" s="4">
        <f>$B$3*C111^(2/3)-$B$4*C111</f>
        <v/>
      </c>
      <c r="E111" s="4">
        <f>( $B$8 + ($B$9-$B$8)*EXP(-$B$4*B111/3) )^3</f>
        <v/>
      </c>
      <c r="F111" s="4">
        <f>ABS(C111-E111)</f>
        <v/>
      </c>
    </row>
    <row r="112">
      <c r="A112" s="4">
        <f>A111+1</f>
        <v/>
      </c>
      <c r="B112" s="4">
        <f>B111+$B$6</f>
        <v/>
      </c>
      <c r="C112" s="4">
        <f>C111+$B$6*D111</f>
        <v/>
      </c>
      <c r="D112" s="4">
        <f>$B$3*C112^(2/3)-$B$4*C112</f>
        <v/>
      </c>
      <c r="E112" s="4">
        <f>( $B$8 + ($B$9-$B$8)*EXP(-$B$4*B112/3) )^3</f>
        <v/>
      </c>
      <c r="F112" s="4">
        <f>ABS(C112-E112)</f>
        <v/>
      </c>
    </row>
    <row r="113">
      <c r="A113" s="4" t="n"/>
      <c r="B113" s="4" t="n"/>
      <c r="C113" s="4" t="n"/>
      <c r="D113" s="4" t="n"/>
      <c r="E113" s="4" t="n"/>
      <c r="F113" s="4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  <col width="10" customWidth="1" min="10" max="10"/>
    <col width="16" customWidth="1" min="11" max="11"/>
  </cols>
  <sheetData>
    <row r="1">
      <c r="A1" s="1" t="inlineStr">
        <is>
          <t>Crecimiento de un Pez (von Bertalanffy) - Heun</t>
        </is>
      </c>
    </row>
    <row r="3">
      <c r="A3" s="2" t="inlineStr">
        <is>
          <t>a (lb^(1/3)/día)</t>
        </is>
      </c>
      <c r="B3" t="n">
        <v>5</v>
      </c>
    </row>
    <row r="4">
      <c r="A4" s="2" t="inlineStr">
        <is>
          <t>b (día^-1)</t>
        </is>
      </c>
      <c r="B4" t="n">
        <v>2</v>
      </c>
    </row>
    <row r="5">
      <c r="A5" s="2" t="inlineStr">
        <is>
          <t>w(0) (lb)</t>
        </is>
      </c>
      <c r="B5" t="n">
        <v>0.5</v>
      </c>
    </row>
    <row r="6">
      <c r="A6" s="2" t="inlineStr">
        <is>
          <t>Paso h (días)</t>
        </is>
      </c>
      <c r="B6" t="n">
        <v>0.1</v>
      </c>
    </row>
    <row r="7">
      <c r="A7" s="2" t="inlineStr">
        <is>
          <t>t_final (días)</t>
        </is>
      </c>
      <c r="B7" t="n">
        <v>10</v>
      </c>
    </row>
    <row r="8">
      <c r="A8" s="2" t="inlineStr">
        <is>
          <t>α = a/b</t>
        </is>
      </c>
      <c r="B8">
        <f>B3/B4</f>
        <v/>
      </c>
    </row>
    <row r="9">
      <c r="A9" s="2" t="inlineStr">
        <is>
          <t>y0 = w(0)^(1/3)</t>
        </is>
      </c>
      <c r="B9">
        <f>B5^(1/3)</f>
        <v/>
      </c>
    </row>
    <row r="11">
      <c r="A11" s="7" t="inlineStr">
        <is>
          <t>n</t>
        </is>
      </c>
      <c r="B11" s="7" t="inlineStr">
        <is>
          <t>t_n (días)</t>
        </is>
      </c>
      <c r="C11" s="7" t="inlineStr">
        <is>
          <t>w_n (Heun) [lb]</t>
        </is>
      </c>
      <c r="D11" s="7" t="inlineStr">
        <is>
          <t>k1 = f(t_n,w_n)</t>
        </is>
      </c>
      <c r="E11" s="7" t="inlineStr">
        <is>
          <t>w_pred = w_n + h*k1</t>
        </is>
      </c>
      <c r="F11" s="7" t="inlineStr">
        <is>
          <t>k2 = f(t_{n+1}, w_pred)</t>
        </is>
      </c>
      <c r="G11" s="7" t="inlineStr">
        <is>
          <t>w_exact(t_n) [lb]</t>
        </is>
      </c>
      <c r="H11" s="7" t="inlineStr">
        <is>
          <t>|Error|</t>
        </is>
      </c>
    </row>
    <row r="12">
      <c r="A12" s="4" t="n">
        <v>0</v>
      </c>
      <c r="B12" s="4" t="n">
        <v>0</v>
      </c>
      <c r="C12" s="4">
        <f>B5</f>
        <v/>
      </c>
      <c r="D12" s="4">
        <f>$B$3*C12^(2/3)-$B$4*C12</f>
        <v/>
      </c>
      <c r="E12" s="4">
        <f>C12+$B$6*D12</f>
        <v/>
      </c>
      <c r="F12" s="4">
        <f>$B$3*E12^(2/3)-$B$4*E12</f>
        <v/>
      </c>
      <c r="G12" s="4">
        <f>( $B$8 + ($B$9-$B$8)*EXP(-$B$4*B12/3) )^3</f>
        <v/>
      </c>
      <c r="H12" s="4">
        <f>ABS(C12-G12)</f>
        <v/>
      </c>
    </row>
    <row r="13">
      <c r="A13" s="4">
        <f>A12+1</f>
        <v/>
      </c>
      <c r="B13" s="4">
        <f>B12+$B$6</f>
        <v/>
      </c>
      <c r="C13" s="4">
        <f>C12+($B$6/2)*(D12+F12)</f>
        <v/>
      </c>
      <c r="D13" s="4">
        <f>$B$3*C13^(2/3)-$B$4*C13</f>
        <v/>
      </c>
      <c r="E13" s="4">
        <f>C13+$B$6*D13</f>
        <v/>
      </c>
      <c r="F13" s="4">
        <f>$B$3*E13^(2/3)-$B$4*E13</f>
        <v/>
      </c>
      <c r="G13" s="4">
        <f>( $B$8 + ($B$9-$B$8)*EXP(-$B$4*B13/3) )^3</f>
        <v/>
      </c>
      <c r="H13" s="4">
        <f>ABS(C13-G13)</f>
        <v/>
      </c>
    </row>
    <row r="14">
      <c r="A14" s="4">
        <f>A13+1</f>
        <v/>
      </c>
      <c r="B14" s="4">
        <f>B13+$B$6</f>
        <v/>
      </c>
      <c r="C14" s="4">
        <f>C13+($B$6/2)*(D13+F13)</f>
        <v/>
      </c>
      <c r="D14" s="4">
        <f>$B$3*C14^(2/3)-$B$4*C14</f>
        <v/>
      </c>
      <c r="E14" s="4">
        <f>C14+$B$6*D14</f>
        <v/>
      </c>
      <c r="F14" s="4">
        <f>$B$3*E14^(2/3)-$B$4*E14</f>
        <v/>
      </c>
      <c r="G14" s="4">
        <f>( $B$8 + ($B$9-$B$8)*EXP(-$B$4*B14/3) )^3</f>
        <v/>
      </c>
      <c r="H14" s="4">
        <f>ABS(C14-G14)</f>
        <v/>
      </c>
    </row>
    <row r="15">
      <c r="A15" s="4">
        <f>A14+1</f>
        <v/>
      </c>
      <c r="B15" s="4">
        <f>B14+$B$6</f>
        <v/>
      </c>
      <c r="C15" s="4">
        <f>C14+($B$6/2)*(D14+F14)</f>
        <v/>
      </c>
      <c r="D15" s="4">
        <f>$B$3*C15^(2/3)-$B$4*C15</f>
        <v/>
      </c>
      <c r="E15" s="4">
        <f>C15+$B$6*D15</f>
        <v/>
      </c>
      <c r="F15" s="4">
        <f>$B$3*E15^(2/3)-$B$4*E15</f>
        <v/>
      </c>
      <c r="G15" s="4">
        <f>( $B$8 + ($B$9-$B$8)*EXP(-$B$4*B15/3) )^3</f>
        <v/>
      </c>
      <c r="H15" s="4">
        <f>ABS(C15-G15)</f>
        <v/>
      </c>
    </row>
    <row r="16">
      <c r="A16" s="4">
        <f>A15+1</f>
        <v/>
      </c>
      <c r="B16" s="4">
        <f>B15+$B$6</f>
        <v/>
      </c>
      <c r="C16" s="4">
        <f>C15+($B$6/2)*(D15+F15)</f>
        <v/>
      </c>
      <c r="D16" s="4">
        <f>$B$3*C16^(2/3)-$B$4*C16</f>
        <v/>
      </c>
      <c r="E16" s="4">
        <f>C16+$B$6*D16</f>
        <v/>
      </c>
      <c r="F16" s="4">
        <f>$B$3*E16^(2/3)-$B$4*E16</f>
        <v/>
      </c>
      <c r="G16" s="4">
        <f>( $B$8 + ($B$9-$B$8)*EXP(-$B$4*B16/3) )^3</f>
        <v/>
      </c>
      <c r="H16" s="4">
        <f>ABS(C16-G16)</f>
        <v/>
      </c>
    </row>
    <row r="17">
      <c r="A17" s="4">
        <f>A16+1</f>
        <v/>
      </c>
      <c r="B17" s="4">
        <f>B16+$B$6</f>
        <v/>
      </c>
      <c r="C17" s="4">
        <f>C16+($B$6/2)*(D16+F16)</f>
        <v/>
      </c>
      <c r="D17" s="4">
        <f>$B$3*C17^(2/3)-$B$4*C17</f>
        <v/>
      </c>
      <c r="E17" s="4">
        <f>C17+$B$6*D17</f>
        <v/>
      </c>
      <c r="F17" s="4">
        <f>$B$3*E17^(2/3)-$B$4*E17</f>
        <v/>
      </c>
      <c r="G17" s="4">
        <f>( $B$8 + ($B$9-$B$8)*EXP(-$B$4*B17/3) )^3</f>
        <v/>
      </c>
      <c r="H17" s="4">
        <f>ABS(C17-G17)</f>
        <v/>
      </c>
    </row>
    <row r="18">
      <c r="A18" s="4">
        <f>A17+1</f>
        <v/>
      </c>
      <c r="B18" s="4">
        <f>B17+$B$6</f>
        <v/>
      </c>
      <c r="C18" s="4">
        <f>C17+($B$6/2)*(D17+F17)</f>
        <v/>
      </c>
      <c r="D18" s="4">
        <f>$B$3*C18^(2/3)-$B$4*C18</f>
        <v/>
      </c>
      <c r="E18" s="4">
        <f>C18+$B$6*D18</f>
        <v/>
      </c>
      <c r="F18" s="4">
        <f>$B$3*E18^(2/3)-$B$4*E18</f>
        <v/>
      </c>
      <c r="G18" s="4">
        <f>( $B$8 + ($B$9-$B$8)*EXP(-$B$4*B18/3) )^3</f>
        <v/>
      </c>
      <c r="H18" s="4">
        <f>ABS(C18-G18)</f>
        <v/>
      </c>
    </row>
    <row r="19">
      <c r="A19" s="4">
        <f>A18+1</f>
        <v/>
      </c>
      <c r="B19" s="4">
        <f>B18+$B$6</f>
        <v/>
      </c>
      <c r="C19" s="4">
        <f>C18+($B$6/2)*(D18+F18)</f>
        <v/>
      </c>
      <c r="D19" s="4">
        <f>$B$3*C19^(2/3)-$B$4*C19</f>
        <v/>
      </c>
      <c r="E19" s="4">
        <f>C19+$B$6*D19</f>
        <v/>
      </c>
      <c r="F19" s="4">
        <f>$B$3*E19^(2/3)-$B$4*E19</f>
        <v/>
      </c>
      <c r="G19" s="4">
        <f>( $B$8 + ($B$9-$B$8)*EXP(-$B$4*B19/3) )^3</f>
        <v/>
      </c>
      <c r="H19" s="4">
        <f>ABS(C19-G19)</f>
        <v/>
      </c>
    </row>
    <row r="20">
      <c r="A20" s="4">
        <f>A19+1</f>
        <v/>
      </c>
      <c r="B20" s="4">
        <f>B19+$B$6</f>
        <v/>
      </c>
      <c r="C20" s="4">
        <f>C19+($B$6/2)*(D19+F19)</f>
        <v/>
      </c>
      <c r="D20" s="4">
        <f>$B$3*C20^(2/3)-$B$4*C20</f>
        <v/>
      </c>
      <c r="E20" s="4">
        <f>C20+$B$6*D20</f>
        <v/>
      </c>
      <c r="F20" s="4">
        <f>$B$3*E20^(2/3)-$B$4*E20</f>
        <v/>
      </c>
      <c r="G20" s="4">
        <f>( $B$8 + ($B$9-$B$8)*EXP(-$B$4*B20/3) )^3</f>
        <v/>
      </c>
      <c r="H20" s="4">
        <f>ABS(C20-G20)</f>
        <v/>
      </c>
    </row>
    <row r="21">
      <c r="A21" s="4">
        <f>A20+1</f>
        <v/>
      </c>
      <c r="B21" s="4">
        <f>B20+$B$6</f>
        <v/>
      </c>
      <c r="C21" s="4">
        <f>C20+($B$6/2)*(D20+F20)</f>
        <v/>
      </c>
      <c r="D21" s="4">
        <f>$B$3*C21^(2/3)-$B$4*C21</f>
        <v/>
      </c>
      <c r="E21" s="4">
        <f>C21+$B$6*D21</f>
        <v/>
      </c>
      <c r="F21" s="4">
        <f>$B$3*E21^(2/3)-$B$4*E21</f>
        <v/>
      </c>
      <c r="G21" s="4">
        <f>( $B$8 + ($B$9-$B$8)*EXP(-$B$4*B21/3) )^3</f>
        <v/>
      </c>
      <c r="H21" s="4">
        <f>ABS(C21-G21)</f>
        <v/>
      </c>
    </row>
    <row r="22">
      <c r="A22" s="4">
        <f>A21+1</f>
        <v/>
      </c>
      <c r="B22" s="4">
        <f>B21+$B$6</f>
        <v/>
      </c>
      <c r="C22" s="4">
        <f>C21+($B$6/2)*(D21+F21)</f>
        <v/>
      </c>
      <c r="D22" s="4">
        <f>$B$3*C22^(2/3)-$B$4*C22</f>
        <v/>
      </c>
      <c r="E22" s="4">
        <f>C22+$B$6*D22</f>
        <v/>
      </c>
      <c r="F22" s="4">
        <f>$B$3*E22^(2/3)-$B$4*E22</f>
        <v/>
      </c>
      <c r="G22" s="4">
        <f>( $B$8 + ($B$9-$B$8)*EXP(-$B$4*B22/3) )^3</f>
        <v/>
      </c>
      <c r="H22" s="4">
        <f>ABS(C22-G22)</f>
        <v/>
      </c>
    </row>
    <row r="23">
      <c r="A23" s="4">
        <f>A22+1</f>
        <v/>
      </c>
      <c r="B23" s="4">
        <f>B22+$B$6</f>
        <v/>
      </c>
      <c r="C23" s="4">
        <f>C22+($B$6/2)*(D22+F22)</f>
        <v/>
      </c>
      <c r="D23" s="4">
        <f>$B$3*C23^(2/3)-$B$4*C23</f>
        <v/>
      </c>
      <c r="E23" s="4">
        <f>C23+$B$6*D23</f>
        <v/>
      </c>
      <c r="F23" s="4">
        <f>$B$3*E23^(2/3)-$B$4*E23</f>
        <v/>
      </c>
      <c r="G23" s="4">
        <f>( $B$8 + ($B$9-$B$8)*EXP(-$B$4*B23/3) )^3</f>
        <v/>
      </c>
      <c r="H23" s="4">
        <f>ABS(C23-G23)</f>
        <v/>
      </c>
    </row>
    <row r="24">
      <c r="A24" s="4">
        <f>A23+1</f>
        <v/>
      </c>
      <c r="B24" s="4">
        <f>B23+$B$6</f>
        <v/>
      </c>
      <c r="C24" s="4">
        <f>C23+($B$6/2)*(D23+F23)</f>
        <v/>
      </c>
      <c r="D24" s="4">
        <f>$B$3*C24^(2/3)-$B$4*C24</f>
        <v/>
      </c>
      <c r="E24" s="4">
        <f>C24+$B$6*D24</f>
        <v/>
      </c>
      <c r="F24" s="4">
        <f>$B$3*E24^(2/3)-$B$4*E24</f>
        <v/>
      </c>
      <c r="G24" s="4">
        <f>( $B$8 + ($B$9-$B$8)*EXP(-$B$4*B24/3) )^3</f>
        <v/>
      </c>
      <c r="H24" s="4">
        <f>ABS(C24-G24)</f>
        <v/>
      </c>
    </row>
    <row r="25">
      <c r="A25" s="4">
        <f>A24+1</f>
        <v/>
      </c>
      <c r="B25" s="4">
        <f>B24+$B$6</f>
        <v/>
      </c>
      <c r="C25" s="4">
        <f>C24+($B$6/2)*(D24+F24)</f>
        <v/>
      </c>
      <c r="D25" s="4">
        <f>$B$3*C25^(2/3)-$B$4*C25</f>
        <v/>
      </c>
      <c r="E25" s="4">
        <f>C25+$B$6*D25</f>
        <v/>
      </c>
      <c r="F25" s="4">
        <f>$B$3*E25^(2/3)-$B$4*E25</f>
        <v/>
      </c>
      <c r="G25" s="4">
        <f>( $B$8 + ($B$9-$B$8)*EXP(-$B$4*B25/3) )^3</f>
        <v/>
      </c>
      <c r="H25" s="4">
        <f>ABS(C25-G25)</f>
        <v/>
      </c>
    </row>
    <row r="26">
      <c r="A26" s="4">
        <f>A25+1</f>
        <v/>
      </c>
      <c r="B26" s="4">
        <f>B25+$B$6</f>
        <v/>
      </c>
      <c r="C26" s="4">
        <f>C25+($B$6/2)*(D25+F25)</f>
        <v/>
      </c>
      <c r="D26" s="4">
        <f>$B$3*C26^(2/3)-$B$4*C26</f>
        <v/>
      </c>
      <c r="E26" s="4">
        <f>C26+$B$6*D26</f>
        <v/>
      </c>
      <c r="F26" s="4">
        <f>$B$3*E26^(2/3)-$B$4*E26</f>
        <v/>
      </c>
      <c r="G26" s="4">
        <f>( $B$8 + ($B$9-$B$8)*EXP(-$B$4*B26/3) )^3</f>
        <v/>
      </c>
      <c r="H26" s="4">
        <f>ABS(C26-G26)</f>
        <v/>
      </c>
    </row>
    <row r="27">
      <c r="A27" s="4">
        <f>A26+1</f>
        <v/>
      </c>
      <c r="B27" s="4">
        <f>B26+$B$6</f>
        <v/>
      </c>
      <c r="C27" s="4">
        <f>C26+($B$6/2)*(D26+F26)</f>
        <v/>
      </c>
      <c r="D27" s="4">
        <f>$B$3*C27^(2/3)-$B$4*C27</f>
        <v/>
      </c>
      <c r="E27" s="4">
        <f>C27+$B$6*D27</f>
        <v/>
      </c>
      <c r="F27" s="4">
        <f>$B$3*E27^(2/3)-$B$4*E27</f>
        <v/>
      </c>
      <c r="G27" s="4">
        <f>( $B$8 + ($B$9-$B$8)*EXP(-$B$4*B27/3) )^3</f>
        <v/>
      </c>
      <c r="H27" s="4">
        <f>ABS(C27-G27)</f>
        <v/>
      </c>
    </row>
    <row r="28">
      <c r="A28" s="4">
        <f>A27+1</f>
        <v/>
      </c>
      <c r="B28" s="4">
        <f>B27+$B$6</f>
        <v/>
      </c>
      <c r="C28" s="4">
        <f>C27+($B$6/2)*(D27+F27)</f>
        <v/>
      </c>
      <c r="D28" s="4">
        <f>$B$3*C28^(2/3)-$B$4*C28</f>
        <v/>
      </c>
      <c r="E28" s="4">
        <f>C28+$B$6*D28</f>
        <v/>
      </c>
      <c r="F28" s="4">
        <f>$B$3*E28^(2/3)-$B$4*E28</f>
        <v/>
      </c>
      <c r="G28" s="4">
        <f>( $B$8 + ($B$9-$B$8)*EXP(-$B$4*B28/3) )^3</f>
        <v/>
      </c>
      <c r="H28" s="4">
        <f>ABS(C28-G28)</f>
        <v/>
      </c>
    </row>
    <row r="29">
      <c r="A29" s="4">
        <f>A28+1</f>
        <v/>
      </c>
      <c r="B29" s="4">
        <f>B28+$B$6</f>
        <v/>
      </c>
      <c r="C29" s="4">
        <f>C28+($B$6/2)*(D28+F28)</f>
        <v/>
      </c>
      <c r="D29" s="4">
        <f>$B$3*C29^(2/3)-$B$4*C29</f>
        <v/>
      </c>
      <c r="E29" s="4">
        <f>C29+$B$6*D29</f>
        <v/>
      </c>
      <c r="F29" s="4">
        <f>$B$3*E29^(2/3)-$B$4*E29</f>
        <v/>
      </c>
      <c r="G29" s="4">
        <f>( $B$8 + ($B$9-$B$8)*EXP(-$B$4*B29/3) )^3</f>
        <v/>
      </c>
      <c r="H29" s="4">
        <f>ABS(C29-G29)</f>
        <v/>
      </c>
    </row>
    <row r="30">
      <c r="A30" s="4">
        <f>A29+1</f>
        <v/>
      </c>
      <c r="B30" s="4">
        <f>B29+$B$6</f>
        <v/>
      </c>
      <c r="C30" s="4">
        <f>C29+($B$6/2)*(D29+F29)</f>
        <v/>
      </c>
      <c r="D30" s="4">
        <f>$B$3*C30^(2/3)-$B$4*C30</f>
        <v/>
      </c>
      <c r="E30" s="4">
        <f>C30+$B$6*D30</f>
        <v/>
      </c>
      <c r="F30" s="4">
        <f>$B$3*E30^(2/3)-$B$4*E30</f>
        <v/>
      </c>
      <c r="G30" s="4">
        <f>( $B$8 + ($B$9-$B$8)*EXP(-$B$4*B30/3) )^3</f>
        <v/>
      </c>
      <c r="H30" s="4">
        <f>ABS(C30-G30)</f>
        <v/>
      </c>
    </row>
    <row r="31">
      <c r="A31" s="4">
        <f>A30+1</f>
        <v/>
      </c>
      <c r="B31" s="4">
        <f>B30+$B$6</f>
        <v/>
      </c>
      <c r="C31" s="4">
        <f>C30+($B$6/2)*(D30+F30)</f>
        <v/>
      </c>
      <c r="D31" s="4">
        <f>$B$3*C31^(2/3)-$B$4*C31</f>
        <v/>
      </c>
      <c r="E31" s="4">
        <f>C31+$B$6*D31</f>
        <v/>
      </c>
      <c r="F31" s="4">
        <f>$B$3*E31^(2/3)-$B$4*E31</f>
        <v/>
      </c>
      <c r="G31" s="4">
        <f>( $B$8 + ($B$9-$B$8)*EXP(-$B$4*B31/3) )^3</f>
        <v/>
      </c>
      <c r="H31" s="4">
        <f>ABS(C31-G31)</f>
        <v/>
      </c>
    </row>
    <row r="32">
      <c r="A32" s="4">
        <f>A31+1</f>
        <v/>
      </c>
      <c r="B32" s="4">
        <f>B31+$B$6</f>
        <v/>
      </c>
      <c r="C32" s="4">
        <f>C31+($B$6/2)*(D31+F31)</f>
        <v/>
      </c>
      <c r="D32" s="4">
        <f>$B$3*C32^(2/3)-$B$4*C32</f>
        <v/>
      </c>
      <c r="E32" s="4">
        <f>C32+$B$6*D32</f>
        <v/>
      </c>
      <c r="F32" s="4">
        <f>$B$3*E32^(2/3)-$B$4*E32</f>
        <v/>
      </c>
      <c r="G32" s="4">
        <f>( $B$8 + ($B$9-$B$8)*EXP(-$B$4*B32/3) )^3</f>
        <v/>
      </c>
      <c r="H32" s="4">
        <f>ABS(C32-G32)</f>
        <v/>
      </c>
    </row>
    <row r="33">
      <c r="A33" s="4">
        <f>A32+1</f>
        <v/>
      </c>
      <c r="B33" s="4">
        <f>B32+$B$6</f>
        <v/>
      </c>
      <c r="C33" s="4">
        <f>C32+($B$6/2)*(D32+F32)</f>
        <v/>
      </c>
      <c r="D33" s="4">
        <f>$B$3*C33^(2/3)-$B$4*C33</f>
        <v/>
      </c>
      <c r="E33" s="4">
        <f>C33+$B$6*D33</f>
        <v/>
      </c>
      <c r="F33" s="4">
        <f>$B$3*E33^(2/3)-$B$4*E33</f>
        <v/>
      </c>
      <c r="G33" s="4">
        <f>( $B$8 + ($B$9-$B$8)*EXP(-$B$4*B33/3) )^3</f>
        <v/>
      </c>
      <c r="H33" s="4">
        <f>ABS(C33-G33)</f>
        <v/>
      </c>
    </row>
    <row r="34">
      <c r="A34" s="4">
        <f>A33+1</f>
        <v/>
      </c>
      <c r="B34" s="4">
        <f>B33+$B$6</f>
        <v/>
      </c>
      <c r="C34" s="4">
        <f>C33+($B$6/2)*(D33+F33)</f>
        <v/>
      </c>
      <c r="D34" s="4">
        <f>$B$3*C34^(2/3)-$B$4*C34</f>
        <v/>
      </c>
      <c r="E34" s="4">
        <f>C34+$B$6*D34</f>
        <v/>
      </c>
      <c r="F34" s="4">
        <f>$B$3*E34^(2/3)-$B$4*E34</f>
        <v/>
      </c>
      <c r="G34" s="4">
        <f>( $B$8 + ($B$9-$B$8)*EXP(-$B$4*B34/3) )^3</f>
        <v/>
      </c>
      <c r="H34" s="4">
        <f>ABS(C34-G34)</f>
        <v/>
      </c>
    </row>
    <row r="35">
      <c r="A35" s="4">
        <f>A34+1</f>
        <v/>
      </c>
      <c r="B35" s="4">
        <f>B34+$B$6</f>
        <v/>
      </c>
      <c r="C35" s="4">
        <f>C34+($B$6/2)*(D34+F34)</f>
        <v/>
      </c>
      <c r="D35" s="4">
        <f>$B$3*C35^(2/3)-$B$4*C35</f>
        <v/>
      </c>
      <c r="E35" s="4">
        <f>C35+$B$6*D35</f>
        <v/>
      </c>
      <c r="F35" s="4">
        <f>$B$3*E35^(2/3)-$B$4*E35</f>
        <v/>
      </c>
      <c r="G35" s="4">
        <f>( $B$8 + ($B$9-$B$8)*EXP(-$B$4*B35/3) )^3</f>
        <v/>
      </c>
      <c r="H35" s="4">
        <f>ABS(C35-G35)</f>
        <v/>
      </c>
    </row>
    <row r="36">
      <c r="A36" s="4">
        <f>A35+1</f>
        <v/>
      </c>
      <c r="B36" s="4">
        <f>B35+$B$6</f>
        <v/>
      </c>
      <c r="C36" s="4">
        <f>C35+($B$6/2)*(D35+F35)</f>
        <v/>
      </c>
      <c r="D36" s="4">
        <f>$B$3*C36^(2/3)-$B$4*C36</f>
        <v/>
      </c>
      <c r="E36" s="4">
        <f>C36+$B$6*D36</f>
        <v/>
      </c>
      <c r="F36" s="4">
        <f>$B$3*E36^(2/3)-$B$4*E36</f>
        <v/>
      </c>
      <c r="G36" s="4">
        <f>( $B$8 + ($B$9-$B$8)*EXP(-$B$4*B36/3) )^3</f>
        <v/>
      </c>
      <c r="H36" s="4">
        <f>ABS(C36-G36)</f>
        <v/>
      </c>
    </row>
    <row r="37">
      <c r="A37" s="4">
        <f>A36+1</f>
        <v/>
      </c>
      <c r="B37" s="4">
        <f>B36+$B$6</f>
        <v/>
      </c>
      <c r="C37" s="4">
        <f>C36+($B$6/2)*(D36+F36)</f>
        <v/>
      </c>
      <c r="D37" s="4">
        <f>$B$3*C37^(2/3)-$B$4*C37</f>
        <v/>
      </c>
      <c r="E37" s="4">
        <f>C37+$B$6*D37</f>
        <v/>
      </c>
      <c r="F37" s="4">
        <f>$B$3*E37^(2/3)-$B$4*E37</f>
        <v/>
      </c>
      <c r="G37" s="4">
        <f>( $B$8 + ($B$9-$B$8)*EXP(-$B$4*B37/3) )^3</f>
        <v/>
      </c>
      <c r="H37" s="4">
        <f>ABS(C37-G37)</f>
        <v/>
      </c>
    </row>
    <row r="38">
      <c r="A38" s="4">
        <f>A37+1</f>
        <v/>
      </c>
      <c r="B38" s="4">
        <f>B37+$B$6</f>
        <v/>
      </c>
      <c r="C38" s="4">
        <f>C37+($B$6/2)*(D37+F37)</f>
        <v/>
      </c>
      <c r="D38" s="4">
        <f>$B$3*C38^(2/3)-$B$4*C38</f>
        <v/>
      </c>
      <c r="E38" s="4">
        <f>C38+$B$6*D38</f>
        <v/>
      </c>
      <c r="F38" s="4">
        <f>$B$3*E38^(2/3)-$B$4*E38</f>
        <v/>
      </c>
      <c r="G38" s="4">
        <f>( $B$8 + ($B$9-$B$8)*EXP(-$B$4*B38/3) )^3</f>
        <v/>
      </c>
      <c r="H38" s="4">
        <f>ABS(C38-G38)</f>
        <v/>
      </c>
    </row>
    <row r="39">
      <c r="A39" s="4">
        <f>A38+1</f>
        <v/>
      </c>
      <c r="B39" s="4">
        <f>B38+$B$6</f>
        <v/>
      </c>
      <c r="C39" s="4">
        <f>C38+($B$6/2)*(D38+F38)</f>
        <v/>
      </c>
      <c r="D39" s="4">
        <f>$B$3*C39^(2/3)-$B$4*C39</f>
        <v/>
      </c>
      <c r="E39" s="4">
        <f>C39+$B$6*D39</f>
        <v/>
      </c>
      <c r="F39" s="4">
        <f>$B$3*E39^(2/3)-$B$4*E39</f>
        <v/>
      </c>
      <c r="G39" s="4">
        <f>( $B$8 + ($B$9-$B$8)*EXP(-$B$4*B39/3) )^3</f>
        <v/>
      </c>
      <c r="H39" s="4">
        <f>ABS(C39-G39)</f>
        <v/>
      </c>
    </row>
    <row r="40">
      <c r="A40" s="4">
        <f>A39+1</f>
        <v/>
      </c>
      <c r="B40" s="4">
        <f>B39+$B$6</f>
        <v/>
      </c>
      <c r="C40" s="4">
        <f>C39+($B$6/2)*(D39+F39)</f>
        <v/>
      </c>
      <c r="D40" s="4">
        <f>$B$3*C40^(2/3)-$B$4*C40</f>
        <v/>
      </c>
      <c r="E40" s="4">
        <f>C40+$B$6*D40</f>
        <v/>
      </c>
      <c r="F40" s="4">
        <f>$B$3*E40^(2/3)-$B$4*E40</f>
        <v/>
      </c>
      <c r="G40" s="4">
        <f>( $B$8 + ($B$9-$B$8)*EXP(-$B$4*B40/3) )^3</f>
        <v/>
      </c>
      <c r="H40" s="4">
        <f>ABS(C40-G40)</f>
        <v/>
      </c>
    </row>
    <row r="41">
      <c r="A41" s="4">
        <f>A40+1</f>
        <v/>
      </c>
      <c r="B41" s="4">
        <f>B40+$B$6</f>
        <v/>
      </c>
      <c r="C41" s="4">
        <f>C40+($B$6/2)*(D40+F40)</f>
        <v/>
      </c>
      <c r="D41" s="4">
        <f>$B$3*C41^(2/3)-$B$4*C41</f>
        <v/>
      </c>
      <c r="E41" s="4">
        <f>C41+$B$6*D41</f>
        <v/>
      </c>
      <c r="F41" s="4">
        <f>$B$3*E41^(2/3)-$B$4*E41</f>
        <v/>
      </c>
      <c r="G41" s="4">
        <f>( $B$8 + ($B$9-$B$8)*EXP(-$B$4*B41/3) )^3</f>
        <v/>
      </c>
      <c r="H41" s="4">
        <f>ABS(C41-G41)</f>
        <v/>
      </c>
    </row>
    <row r="42">
      <c r="A42" s="4">
        <f>A41+1</f>
        <v/>
      </c>
      <c r="B42" s="4">
        <f>B41+$B$6</f>
        <v/>
      </c>
      <c r="C42" s="4">
        <f>C41+($B$6/2)*(D41+F41)</f>
        <v/>
      </c>
      <c r="D42" s="4">
        <f>$B$3*C42^(2/3)-$B$4*C42</f>
        <v/>
      </c>
      <c r="E42" s="4">
        <f>C42+$B$6*D42</f>
        <v/>
      </c>
      <c r="F42" s="4">
        <f>$B$3*E42^(2/3)-$B$4*E42</f>
        <v/>
      </c>
      <c r="G42" s="4">
        <f>( $B$8 + ($B$9-$B$8)*EXP(-$B$4*B42/3) )^3</f>
        <v/>
      </c>
      <c r="H42" s="4">
        <f>ABS(C42-G42)</f>
        <v/>
      </c>
    </row>
    <row r="43">
      <c r="A43" s="4">
        <f>A42+1</f>
        <v/>
      </c>
      <c r="B43" s="4">
        <f>B42+$B$6</f>
        <v/>
      </c>
      <c r="C43" s="4">
        <f>C42+($B$6/2)*(D42+F42)</f>
        <v/>
      </c>
      <c r="D43" s="4">
        <f>$B$3*C43^(2/3)-$B$4*C43</f>
        <v/>
      </c>
      <c r="E43" s="4">
        <f>C43+$B$6*D43</f>
        <v/>
      </c>
      <c r="F43" s="4">
        <f>$B$3*E43^(2/3)-$B$4*E43</f>
        <v/>
      </c>
      <c r="G43" s="4">
        <f>( $B$8 + ($B$9-$B$8)*EXP(-$B$4*B43/3) )^3</f>
        <v/>
      </c>
      <c r="H43" s="4">
        <f>ABS(C43-G43)</f>
        <v/>
      </c>
    </row>
    <row r="44">
      <c r="A44" s="4">
        <f>A43+1</f>
        <v/>
      </c>
      <c r="B44" s="4">
        <f>B43+$B$6</f>
        <v/>
      </c>
      <c r="C44" s="4">
        <f>C43+($B$6/2)*(D43+F43)</f>
        <v/>
      </c>
      <c r="D44" s="4">
        <f>$B$3*C44^(2/3)-$B$4*C44</f>
        <v/>
      </c>
      <c r="E44" s="4">
        <f>C44+$B$6*D44</f>
        <v/>
      </c>
      <c r="F44" s="4">
        <f>$B$3*E44^(2/3)-$B$4*E44</f>
        <v/>
      </c>
      <c r="G44" s="4">
        <f>( $B$8 + ($B$9-$B$8)*EXP(-$B$4*B44/3) )^3</f>
        <v/>
      </c>
      <c r="H44" s="4">
        <f>ABS(C44-G44)</f>
        <v/>
      </c>
    </row>
    <row r="45">
      <c r="A45" s="4">
        <f>A44+1</f>
        <v/>
      </c>
      <c r="B45" s="4">
        <f>B44+$B$6</f>
        <v/>
      </c>
      <c r="C45" s="4">
        <f>C44+($B$6/2)*(D44+F44)</f>
        <v/>
      </c>
      <c r="D45" s="4">
        <f>$B$3*C45^(2/3)-$B$4*C45</f>
        <v/>
      </c>
      <c r="E45" s="4">
        <f>C45+$B$6*D45</f>
        <v/>
      </c>
      <c r="F45" s="4">
        <f>$B$3*E45^(2/3)-$B$4*E45</f>
        <v/>
      </c>
      <c r="G45" s="4">
        <f>( $B$8 + ($B$9-$B$8)*EXP(-$B$4*B45/3) )^3</f>
        <v/>
      </c>
      <c r="H45" s="4">
        <f>ABS(C45-G45)</f>
        <v/>
      </c>
    </row>
    <row r="46">
      <c r="A46" s="4">
        <f>A45+1</f>
        <v/>
      </c>
      <c r="B46" s="4">
        <f>B45+$B$6</f>
        <v/>
      </c>
      <c r="C46" s="4">
        <f>C45+($B$6/2)*(D45+F45)</f>
        <v/>
      </c>
      <c r="D46" s="4">
        <f>$B$3*C46^(2/3)-$B$4*C46</f>
        <v/>
      </c>
      <c r="E46" s="4">
        <f>C46+$B$6*D46</f>
        <v/>
      </c>
      <c r="F46" s="4">
        <f>$B$3*E46^(2/3)-$B$4*E46</f>
        <v/>
      </c>
      <c r="G46" s="4">
        <f>( $B$8 + ($B$9-$B$8)*EXP(-$B$4*B46/3) )^3</f>
        <v/>
      </c>
      <c r="H46" s="4">
        <f>ABS(C46-G46)</f>
        <v/>
      </c>
    </row>
    <row r="47">
      <c r="A47" s="4">
        <f>A46+1</f>
        <v/>
      </c>
      <c r="B47" s="4">
        <f>B46+$B$6</f>
        <v/>
      </c>
      <c r="C47" s="4">
        <f>C46+($B$6/2)*(D46+F46)</f>
        <v/>
      </c>
      <c r="D47" s="4">
        <f>$B$3*C47^(2/3)-$B$4*C47</f>
        <v/>
      </c>
      <c r="E47" s="4">
        <f>C47+$B$6*D47</f>
        <v/>
      </c>
      <c r="F47" s="4">
        <f>$B$3*E47^(2/3)-$B$4*E47</f>
        <v/>
      </c>
      <c r="G47" s="4">
        <f>( $B$8 + ($B$9-$B$8)*EXP(-$B$4*B47/3) )^3</f>
        <v/>
      </c>
      <c r="H47" s="4">
        <f>ABS(C47-G47)</f>
        <v/>
      </c>
    </row>
    <row r="48">
      <c r="A48" s="4">
        <f>A47+1</f>
        <v/>
      </c>
      <c r="B48" s="4">
        <f>B47+$B$6</f>
        <v/>
      </c>
      <c r="C48" s="4">
        <f>C47+($B$6/2)*(D47+F47)</f>
        <v/>
      </c>
      <c r="D48" s="4">
        <f>$B$3*C48^(2/3)-$B$4*C48</f>
        <v/>
      </c>
      <c r="E48" s="4">
        <f>C48+$B$6*D48</f>
        <v/>
      </c>
      <c r="F48" s="4">
        <f>$B$3*E48^(2/3)-$B$4*E48</f>
        <v/>
      </c>
      <c r="G48" s="4">
        <f>( $B$8 + ($B$9-$B$8)*EXP(-$B$4*B48/3) )^3</f>
        <v/>
      </c>
      <c r="H48" s="4">
        <f>ABS(C48-G48)</f>
        <v/>
      </c>
    </row>
    <row r="49">
      <c r="A49" s="4">
        <f>A48+1</f>
        <v/>
      </c>
      <c r="B49" s="4">
        <f>B48+$B$6</f>
        <v/>
      </c>
      <c r="C49" s="4">
        <f>C48+($B$6/2)*(D48+F48)</f>
        <v/>
      </c>
      <c r="D49" s="4">
        <f>$B$3*C49^(2/3)-$B$4*C49</f>
        <v/>
      </c>
      <c r="E49" s="4">
        <f>C49+$B$6*D49</f>
        <v/>
      </c>
      <c r="F49" s="4">
        <f>$B$3*E49^(2/3)-$B$4*E49</f>
        <v/>
      </c>
      <c r="G49" s="4">
        <f>( $B$8 + ($B$9-$B$8)*EXP(-$B$4*B49/3) )^3</f>
        <v/>
      </c>
      <c r="H49" s="4">
        <f>ABS(C49-G49)</f>
        <v/>
      </c>
    </row>
    <row r="50">
      <c r="A50" s="4">
        <f>A49+1</f>
        <v/>
      </c>
      <c r="B50" s="4">
        <f>B49+$B$6</f>
        <v/>
      </c>
      <c r="C50" s="4">
        <f>C49+($B$6/2)*(D49+F49)</f>
        <v/>
      </c>
      <c r="D50" s="4">
        <f>$B$3*C50^(2/3)-$B$4*C50</f>
        <v/>
      </c>
      <c r="E50" s="4">
        <f>C50+$B$6*D50</f>
        <v/>
      </c>
      <c r="F50" s="4">
        <f>$B$3*E50^(2/3)-$B$4*E50</f>
        <v/>
      </c>
      <c r="G50" s="4">
        <f>( $B$8 + ($B$9-$B$8)*EXP(-$B$4*B50/3) )^3</f>
        <v/>
      </c>
      <c r="H50" s="4">
        <f>ABS(C50-G50)</f>
        <v/>
      </c>
    </row>
    <row r="51">
      <c r="A51" s="4">
        <f>A50+1</f>
        <v/>
      </c>
      <c r="B51" s="4">
        <f>B50+$B$6</f>
        <v/>
      </c>
      <c r="C51" s="4">
        <f>C50+($B$6/2)*(D50+F50)</f>
        <v/>
      </c>
      <c r="D51" s="4">
        <f>$B$3*C51^(2/3)-$B$4*C51</f>
        <v/>
      </c>
      <c r="E51" s="4">
        <f>C51+$B$6*D51</f>
        <v/>
      </c>
      <c r="F51" s="4">
        <f>$B$3*E51^(2/3)-$B$4*E51</f>
        <v/>
      </c>
      <c r="G51" s="4">
        <f>( $B$8 + ($B$9-$B$8)*EXP(-$B$4*B51/3) )^3</f>
        <v/>
      </c>
      <c r="H51" s="4">
        <f>ABS(C51-G51)</f>
        <v/>
      </c>
    </row>
    <row r="52">
      <c r="A52" s="4">
        <f>A51+1</f>
        <v/>
      </c>
      <c r="B52" s="4">
        <f>B51+$B$6</f>
        <v/>
      </c>
      <c r="C52" s="4">
        <f>C51+($B$6/2)*(D51+F51)</f>
        <v/>
      </c>
      <c r="D52" s="4">
        <f>$B$3*C52^(2/3)-$B$4*C52</f>
        <v/>
      </c>
      <c r="E52" s="4">
        <f>C52+$B$6*D52</f>
        <v/>
      </c>
      <c r="F52" s="4">
        <f>$B$3*E52^(2/3)-$B$4*E52</f>
        <v/>
      </c>
      <c r="G52" s="4">
        <f>( $B$8 + ($B$9-$B$8)*EXP(-$B$4*B52/3) )^3</f>
        <v/>
      </c>
      <c r="H52" s="4">
        <f>ABS(C52-G52)</f>
        <v/>
      </c>
    </row>
    <row r="53">
      <c r="A53" s="4">
        <f>A52+1</f>
        <v/>
      </c>
      <c r="B53" s="4">
        <f>B52+$B$6</f>
        <v/>
      </c>
      <c r="C53" s="4">
        <f>C52+($B$6/2)*(D52+F52)</f>
        <v/>
      </c>
      <c r="D53" s="4">
        <f>$B$3*C53^(2/3)-$B$4*C53</f>
        <v/>
      </c>
      <c r="E53" s="4">
        <f>C53+$B$6*D53</f>
        <v/>
      </c>
      <c r="F53" s="4">
        <f>$B$3*E53^(2/3)-$B$4*E53</f>
        <v/>
      </c>
      <c r="G53" s="4">
        <f>( $B$8 + ($B$9-$B$8)*EXP(-$B$4*B53/3) )^3</f>
        <v/>
      </c>
      <c r="H53" s="4">
        <f>ABS(C53-G53)</f>
        <v/>
      </c>
    </row>
    <row r="54">
      <c r="A54" s="4">
        <f>A53+1</f>
        <v/>
      </c>
      <c r="B54" s="4">
        <f>B53+$B$6</f>
        <v/>
      </c>
      <c r="C54" s="4">
        <f>C53+($B$6/2)*(D53+F53)</f>
        <v/>
      </c>
      <c r="D54" s="4">
        <f>$B$3*C54^(2/3)-$B$4*C54</f>
        <v/>
      </c>
      <c r="E54" s="4">
        <f>C54+$B$6*D54</f>
        <v/>
      </c>
      <c r="F54" s="4">
        <f>$B$3*E54^(2/3)-$B$4*E54</f>
        <v/>
      </c>
      <c r="G54" s="4">
        <f>( $B$8 + ($B$9-$B$8)*EXP(-$B$4*B54/3) )^3</f>
        <v/>
      </c>
      <c r="H54" s="4">
        <f>ABS(C54-G54)</f>
        <v/>
      </c>
    </row>
    <row r="55">
      <c r="A55" s="4">
        <f>A54+1</f>
        <v/>
      </c>
      <c r="B55" s="4">
        <f>B54+$B$6</f>
        <v/>
      </c>
      <c r="C55" s="4">
        <f>C54+($B$6/2)*(D54+F54)</f>
        <v/>
      </c>
      <c r="D55" s="4">
        <f>$B$3*C55^(2/3)-$B$4*C55</f>
        <v/>
      </c>
      <c r="E55" s="4">
        <f>C55+$B$6*D55</f>
        <v/>
      </c>
      <c r="F55" s="4">
        <f>$B$3*E55^(2/3)-$B$4*E55</f>
        <v/>
      </c>
      <c r="G55" s="4">
        <f>( $B$8 + ($B$9-$B$8)*EXP(-$B$4*B55/3) )^3</f>
        <v/>
      </c>
      <c r="H55" s="4">
        <f>ABS(C55-G55)</f>
        <v/>
      </c>
    </row>
    <row r="56">
      <c r="A56" s="4">
        <f>A55+1</f>
        <v/>
      </c>
      <c r="B56" s="4">
        <f>B55+$B$6</f>
        <v/>
      </c>
      <c r="C56" s="4">
        <f>C55+($B$6/2)*(D55+F55)</f>
        <v/>
      </c>
      <c r="D56" s="4">
        <f>$B$3*C56^(2/3)-$B$4*C56</f>
        <v/>
      </c>
      <c r="E56" s="4">
        <f>C56+$B$6*D56</f>
        <v/>
      </c>
      <c r="F56" s="4">
        <f>$B$3*E56^(2/3)-$B$4*E56</f>
        <v/>
      </c>
      <c r="G56" s="4">
        <f>( $B$8 + ($B$9-$B$8)*EXP(-$B$4*B56/3) )^3</f>
        <v/>
      </c>
      <c r="H56" s="4">
        <f>ABS(C56-G56)</f>
        <v/>
      </c>
    </row>
    <row r="57">
      <c r="A57" s="4">
        <f>A56+1</f>
        <v/>
      </c>
      <c r="B57" s="4">
        <f>B56+$B$6</f>
        <v/>
      </c>
      <c r="C57" s="4">
        <f>C56+($B$6/2)*(D56+F56)</f>
        <v/>
      </c>
      <c r="D57" s="4">
        <f>$B$3*C57^(2/3)-$B$4*C57</f>
        <v/>
      </c>
      <c r="E57" s="4">
        <f>C57+$B$6*D57</f>
        <v/>
      </c>
      <c r="F57" s="4">
        <f>$B$3*E57^(2/3)-$B$4*E57</f>
        <v/>
      </c>
      <c r="G57" s="4">
        <f>( $B$8 + ($B$9-$B$8)*EXP(-$B$4*B57/3) )^3</f>
        <v/>
      </c>
      <c r="H57" s="4">
        <f>ABS(C57-G57)</f>
        <v/>
      </c>
    </row>
    <row r="58">
      <c r="A58" s="4">
        <f>A57+1</f>
        <v/>
      </c>
      <c r="B58" s="4">
        <f>B57+$B$6</f>
        <v/>
      </c>
      <c r="C58" s="4">
        <f>C57+($B$6/2)*(D57+F57)</f>
        <v/>
      </c>
      <c r="D58" s="4">
        <f>$B$3*C58^(2/3)-$B$4*C58</f>
        <v/>
      </c>
      <c r="E58" s="4">
        <f>C58+$B$6*D58</f>
        <v/>
      </c>
      <c r="F58" s="4">
        <f>$B$3*E58^(2/3)-$B$4*E58</f>
        <v/>
      </c>
      <c r="G58" s="4">
        <f>( $B$8 + ($B$9-$B$8)*EXP(-$B$4*B58/3) )^3</f>
        <v/>
      </c>
      <c r="H58" s="4">
        <f>ABS(C58-G58)</f>
        <v/>
      </c>
    </row>
    <row r="59">
      <c r="A59" s="4">
        <f>A58+1</f>
        <v/>
      </c>
      <c r="B59" s="4">
        <f>B58+$B$6</f>
        <v/>
      </c>
      <c r="C59" s="4">
        <f>C58+($B$6/2)*(D58+F58)</f>
        <v/>
      </c>
      <c r="D59" s="4">
        <f>$B$3*C59^(2/3)-$B$4*C59</f>
        <v/>
      </c>
      <c r="E59" s="4">
        <f>C59+$B$6*D59</f>
        <v/>
      </c>
      <c r="F59" s="4">
        <f>$B$3*E59^(2/3)-$B$4*E59</f>
        <v/>
      </c>
      <c r="G59" s="4">
        <f>( $B$8 + ($B$9-$B$8)*EXP(-$B$4*B59/3) )^3</f>
        <v/>
      </c>
      <c r="H59" s="4">
        <f>ABS(C59-G59)</f>
        <v/>
      </c>
    </row>
    <row r="60">
      <c r="A60" s="4">
        <f>A59+1</f>
        <v/>
      </c>
      <c r="B60" s="4">
        <f>B59+$B$6</f>
        <v/>
      </c>
      <c r="C60" s="4">
        <f>C59+($B$6/2)*(D59+F59)</f>
        <v/>
      </c>
      <c r="D60" s="4">
        <f>$B$3*C60^(2/3)-$B$4*C60</f>
        <v/>
      </c>
      <c r="E60" s="4">
        <f>C60+$B$6*D60</f>
        <v/>
      </c>
      <c r="F60" s="4">
        <f>$B$3*E60^(2/3)-$B$4*E60</f>
        <v/>
      </c>
      <c r="G60" s="4">
        <f>( $B$8 + ($B$9-$B$8)*EXP(-$B$4*B60/3) )^3</f>
        <v/>
      </c>
      <c r="H60" s="4">
        <f>ABS(C60-G60)</f>
        <v/>
      </c>
    </row>
    <row r="61">
      <c r="A61" s="4">
        <f>A60+1</f>
        <v/>
      </c>
      <c r="B61" s="4">
        <f>B60+$B$6</f>
        <v/>
      </c>
      <c r="C61" s="4">
        <f>C60+($B$6/2)*(D60+F60)</f>
        <v/>
      </c>
      <c r="D61" s="4">
        <f>$B$3*C61^(2/3)-$B$4*C61</f>
        <v/>
      </c>
      <c r="E61" s="4">
        <f>C61+$B$6*D61</f>
        <v/>
      </c>
      <c r="F61" s="4">
        <f>$B$3*E61^(2/3)-$B$4*E61</f>
        <v/>
      </c>
      <c r="G61" s="4">
        <f>( $B$8 + ($B$9-$B$8)*EXP(-$B$4*B61/3) )^3</f>
        <v/>
      </c>
      <c r="H61" s="4">
        <f>ABS(C61-G61)</f>
        <v/>
      </c>
    </row>
    <row r="62">
      <c r="A62" s="4">
        <f>A61+1</f>
        <v/>
      </c>
      <c r="B62" s="4">
        <f>B61+$B$6</f>
        <v/>
      </c>
      <c r="C62" s="4">
        <f>C61+($B$6/2)*(D61+F61)</f>
        <v/>
      </c>
      <c r="D62" s="4">
        <f>$B$3*C62^(2/3)-$B$4*C62</f>
        <v/>
      </c>
      <c r="E62" s="4">
        <f>C62+$B$6*D62</f>
        <v/>
      </c>
      <c r="F62" s="4">
        <f>$B$3*E62^(2/3)-$B$4*E62</f>
        <v/>
      </c>
      <c r="G62" s="4">
        <f>( $B$8 + ($B$9-$B$8)*EXP(-$B$4*B62/3) )^3</f>
        <v/>
      </c>
      <c r="H62" s="4">
        <f>ABS(C62-G62)</f>
        <v/>
      </c>
    </row>
    <row r="63">
      <c r="A63" s="4">
        <f>A62+1</f>
        <v/>
      </c>
      <c r="B63" s="4">
        <f>B62+$B$6</f>
        <v/>
      </c>
      <c r="C63" s="4">
        <f>C62+($B$6/2)*(D62+F62)</f>
        <v/>
      </c>
      <c r="D63" s="4">
        <f>$B$3*C63^(2/3)-$B$4*C63</f>
        <v/>
      </c>
      <c r="E63" s="4">
        <f>C63+$B$6*D63</f>
        <v/>
      </c>
      <c r="F63" s="4">
        <f>$B$3*E63^(2/3)-$B$4*E63</f>
        <v/>
      </c>
      <c r="G63" s="4">
        <f>( $B$8 + ($B$9-$B$8)*EXP(-$B$4*B63/3) )^3</f>
        <v/>
      </c>
      <c r="H63" s="4">
        <f>ABS(C63-G63)</f>
        <v/>
      </c>
    </row>
    <row r="64">
      <c r="A64" s="4">
        <f>A63+1</f>
        <v/>
      </c>
      <c r="B64" s="4">
        <f>B63+$B$6</f>
        <v/>
      </c>
      <c r="C64" s="4">
        <f>C63+($B$6/2)*(D63+F63)</f>
        <v/>
      </c>
      <c r="D64" s="4">
        <f>$B$3*C64^(2/3)-$B$4*C64</f>
        <v/>
      </c>
      <c r="E64" s="4">
        <f>C64+$B$6*D64</f>
        <v/>
      </c>
      <c r="F64" s="4">
        <f>$B$3*E64^(2/3)-$B$4*E64</f>
        <v/>
      </c>
      <c r="G64" s="4">
        <f>( $B$8 + ($B$9-$B$8)*EXP(-$B$4*B64/3) )^3</f>
        <v/>
      </c>
      <c r="H64" s="4">
        <f>ABS(C64-G64)</f>
        <v/>
      </c>
    </row>
    <row r="65">
      <c r="A65" s="4">
        <f>A64+1</f>
        <v/>
      </c>
      <c r="B65" s="4">
        <f>B64+$B$6</f>
        <v/>
      </c>
      <c r="C65" s="4">
        <f>C64+($B$6/2)*(D64+F64)</f>
        <v/>
      </c>
      <c r="D65" s="4">
        <f>$B$3*C65^(2/3)-$B$4*C65</f>
        <v/>
      </c>
      <c r="E65" s="4">
        <f>C65+$B$6*D65</f>
        <v/>
      </c>
      <c r="F65" s="4">
        <f>$B$3*E65^(2/3)-$B$4*E65</f>
        <v/>
      </c>
      <c r="G65" s="4">
        <f>( $B$8 + ($B$9-$B$8)*EXP(-$B$4*B65/3) )^3</f>
        <v/>
      </c>
      <c r="H65" s="4">
        <f>ABS(C65-G65)</f>
        <v/>
      </c>
    </row>
    <row r="66">
      <c r="A66" s="4">
        <f>A65+1</f>
        <v/>
      </c>
      <c r="B66" s="4">
        <f>B65+$B$6</f>
        <v/>
      </c>
      <c r="C66" s="4">
        <f>C65+($B$6/2)*(D65+F65)</f>
        <v/>
      </c>
      <c r="D66" s="4">
        <f>$B$3*C66^(2/3)-$B$4*C66</f>
        <v/>
      </c>
      <c r="E66" s="4">
        <f>C66+$B$6*D66</f>
        <v/>
      </c>
      <c r="F66" s="4">
        <f>$B$3*E66^(2/3)-$B$4*E66</f>
        <v/>
      </c>
      <c r="G66" s="4">
        <f>( $B$8 + ($B$9-$B$8)*EXP(-$B$4*B66/3) )^3</f>
        <v/>
      </c>
      <c r="H66" s="4">
        <f>ABS(C66-G66)</f>
        <v/>
      </c>
    </row>
    <row r="67">
      <c r="A67" s="4">
        <f>A66+1</f>
        <v/>
      </c>
      <c r="B67" s="4">
        <f>B66+$B$6</f>
        <v/>
      </c>
      <c r="C67" s="4">
        <f>C66+($B$6/2)*(D66+F66)</f>
        <v/>
      </c>
      <c r="D67" s="4">
        <f>$B$3*C67^(2/3)-$B$4*C67</f>
        <v/>
      </c>
      <c r="E67" s="4">
        <f>C67+$B$6*D67</f>
        <v/>
      </c>
      <c r="F67" s="4">
        <f>$B$3*E67^(2/3)-$B$4*E67</f>
        <v/>
      </c>
      <c r="G67" s="4">
        <f>( $B$8 + ($B$9-$B$8)*EXP(-$B$4*B67/3) )^3</f>
        <v/>
      </c>
      <c r="H67" s="4">
        <f>ABS(C67-G67)</f>
        <v/>
      </c>
    </row>
    <row r="68">
      <c r="A68" s="4">
        <f>A67+1</f>
        <v/>
      </c>
      <c r="B68" s="4">
        <f>B67+$B$6</f>
        <v/>
      </c>
      <c r="C68" s="4">
        <f>C67+($B$6/2)*(D67+F67)</f>
        <v/>
      </c>
      <c r="D68" s="4">
        <f>$B$3*C68^(2/3)-$B$4*C68</f>
        <v/>
      </c>
      <c r="E68" s="4">
        <f>C68+$B$6*D68</f>
        <v/>
      </c>
      <c r="F68" s="4">
        <f>$B$3*E68^(2/3)-$B$4*E68</f>
        <v/>
      </c>
      <c r="G68" s="4">
        <f>( $B$8 + ($B$9-$B$8)*EXP(-$B$4*B68/3) )^3</f>
        <v/>
      </c>
      <c r="H68" s="4">
        <f>ABS(C68-G68)</f>
        <v/>
      </c>
    </row>
    <row r="69">
      <c r="A69" s="4">
        <f>A68+1</f>
        <v/>
      </c>
      <c r="B69" s="4">
        <f>B68+$B$6</f>
        <v/>
      </c>
      <c r="C69" s="4">
        <f>C68+($B$6/2)*(D68+F68)</f>
        <v/>
      </c>
      <c r="D69" s="4">
        <f>$B$3*C69^(2/3)-$B$4*C69</f>
        <v/>
      </c>
      <c r="E69" s="4">
        <f>C69+$B$6*D69</f>
        <v/>
      </c>
      <c r="F69" s="4">
        <f>$B$3*E69^(2/3)-$B$4*E69</f>
        <v/>
      </c>
      <c r="G69" s="4">
        <f>( $B$8 + ($B$9-$B$8)*EXP(-$B$4*B69/3) )^3</f>
        <v/>
      </c>
      <c r="H69" s="4">
        <f>ABS(C69-G69)</f>
        <v/>
      </c>
    </row>
    <row r="70">
      <c r="A70" s="4">
        <f>A69+1</f>
        <v/>
      </c>
      <c r="B70" s="4">
        <f>B69+$B$6</f>
        <v/>
      </c>
      <c r="C70" s="4">
        <f>C69+($B$6/2)*(D69+F69)</f>
        <v/>
      </c>
      <c r="D70" s="4">
        <f>$B$3*C70^(2/3)-$B$4*C70</f>
        <v/>
      </c>
      <c r="E70" s="4">
        <f>C70+$B$6*D70</f>
        <v/>
      </c>
      <c r="F70" s="4">
        <f>$B$3*E70^(2/3)-$B$4*E70</f>
        <v/>
      </c>
      <c r="G70" s="4">
        <f>( $B$8 + ($B$9-$B$8)*EXP(-$B$4*B70/3) )^3</f>
        <v/>
      </c>
      <c r="H70" s="4">
        <f>ABS(C70-G70)</f>
        <v/>
      </c>
    </row>
    <row r="71">
      <c r="A71" s="4">
        <f>A70+1</f>
        <v/>
      </c>
      <c r="B71" s="4">
        <f>B70+$B$6</f>
        <v/>
      </c>
      <c r="C71" s="4">
        <f>C70+($B$6/2)*(D70+F70)</f>
        <v/>
      </c>
      <c r="D71" s="4">
        <f>$B$3*C71^(2/3)-$B$4*C71</f>
        <v/>
      </c>
      <c r="E71" s="4">
        <f>C71+$B$6*D71</f>
        <v/>
      </c>
      <c r="F71" s="4">
        <f>$B$3*E71^(2/3)-$B$4*E71</f>
        <v/>
      </c>
      <c r="G71" s="4">
        <f>( $B$8 + ($B$9-$B$8)*EXP(-$B$4*B71/3) )^3</f>
        <v/>
      </c>
      <c r="H71" s="4">
        <f>ABS(C71-G71)</f>
        <v/>
      </c>
    </row>
    <row r="72">
      <c r="A72" s="4">
        <f>A71+1</f>
        <v/>
      </c>
      <c r="B72" s="4">
        <f>B71+$B$6</f>
        <v/>
      </c>
      <c r="C72" s="4">
        <f>C71+($B$6/2)*(D71+F71)</f>
        <v/>
      </c>
      <c r="D72" s="4">
        <f>$B$3*C72^(2/3)-$B$4*C72</f>
        <v/>
      </c>
      <c r="E72" s="4">
        <f>C72+$B$6*D72</f>
        <v/>
      </c>
      <c r="F72" s="4">
        <f>$B$3*E72^(2/3)-$B$4*E72</f>
        <v/>
      </c>
      <c r="G72" s="4">
        <f>( $B$8 + ($B$9-$B$8)*EXP(-$B$4*B72/3) )^3</f>
        <v/>
      </c>
      <c r="H72" s="4">
        <f>ABS(C72-G72)</f>
        <v/>
      </c>
    </row>
    <row r="73">
      <c r="A73" s="4">
        <f>A72+1</f>
        <v/>
      </c>
      <c r="B73" s="4">
        <f>B72+$B$6</f>
        <v/>
      </c>
      <c r="C73" s="4">
        <f>C72+($B$6/2)*(D72+F72)</f>
        <v/>
      </c>
      <c r="D73" s="4">
        <f>$B$3*C73^(2/3)-$B$4*C73</f>
        <v/>
      </c>
      <c r="E73" s="4">
        <f>C73+$B$6*D73</f>
        <v/>
      </c>
      <c r="F73" s="4">
        <f>$B$3*E73^(2/3)-$B$4*E73</f>
        <v/>
      </c>
      <c r="G73" s="4">
        <f>( $B$8 + ($B$9-$B$8)*EXP(-$B$4*B73/3) )^3</f>
        <v/>
      </c>
      <c r="H73" s="4">
        <f>ABS(C73-G73)</f>
        <v/>
      </c>
    </row>
    <row r="74">
      <c r="A74" s="4">
        <f>A73+1</f>
        <v/>
      </c>
      <c r="B74" s="4">
        <f>B73+$B$6</f>
        <v/>
      </c>
      <c r="C74" s="4">
        <f>C73+($B$6/2)*(D73+F73)</f>
        <v/>
      </c>
      <c r="D74" s="4">
        <f>$B$3*C74^(2/3)-$B$4*C74</f>
        <v/>
      </c>
      <c r="E74" s="4">
        <f>C74+$B$6*D74</f>
        <v/>
      </c>
      <c r="F74" s="4">
        <f>$B$3*E74^(2/3)-$B$4*E74</f>
        <v/>
      </c>
      <c r="G74" s="4">
        <f>( $B$8 + ($B$9-$B$8)*EXP(-$B$4*B74/3) )^3</f>
        <v/>
      </c>
      <c r="H74" s="4">
        <f>ABS(C74-G74)</f>
        <v/>
      </c>
    </row>
    <row r="75">
      <c r="A75" s="4">
        <f>A74+1</f>
        <v/>
      </c>
      <c r="B75" s="4">
        <f>B74+$B$6</f>
        <v/>
      </c>
      <c r="C75" s="4">
        <f>C74+($B$6/2)*(D74+F74)</f>
        <v/>
      </c>
      <c r="D75" s="4">
        <f>$B$3*C75^(2/3)-$B$4*C75</f>
        <v/>
      </c>
      <c r="E75" s="4">
        <f>C75+$B$6*D75</f>
        <v/>
      </c>
      <c r="F75" s="4">
        <f>$B$3*E75^(2/3)-$B$4*E75</f>
        <v/>
      </c>
      <c r="G75" s="4">
        <f>( $B$8 + ($B$9-$B$8)*EXP(-$B$4*B75/3) )^3</f>
        <v/>
      </c>
      <c r="H75" s="4">
        <f>ABS(C75-G75)</f>
        <v/>
      </c>
    </row>
    <row r="76">
      <c r="A76" s="4">
        <f>A75+1</f>
        <v/>
      </c>
      <c r="B76" s="4">
        <f>B75+$B$6</f>
        <v/>
      </c>
      <c r="C76" s="4">
        <f>C75+($B$6/2)*(D75+F75)</f>
        <v/>
      </c>
      <c r="D76" s="4">
        <f>$B$3*C76^(2/3)-$B$4*C76</f>
        <v/>
      </c>
      <c r="E76" s="4">
        <f>C76+$B$6*D76</f>
        <v/>
      </c>
      <c r="F76" s="4">
        <f>$B$3*E76^(2/3)-$B$4*E76</f>
        <v/>
      </c>
      <c r="G76" s="4">
        <f>( $B$8 + ($B$9-$B$8)*EXP(-$B$4*B76/3) )^3</f>
        <v/>
      </c>
      <c r="H76" s="4">
        <f>ABS(C76-G76)</f>
        <v/>
      </c>
    </row>
    <row r="77">
      <c r="A77" s="4">
        <f>A76+1</f>
        <v/>
      </c>
      <c r="B77" s="4">
        <f>B76+$B$6</f>
        <v/>
      </c>
      <c r="C77" s="4">
        <f>C76+($B$6/2)*(D76+F76)</f>
        <v/>
      </c>
      <c r="D77" s="4">
        <f>$B$3*C77^(2/3)-$B$4*C77</f>
        <v/>
      </c>
      <c r="E77" s="4">
        <f>C77+$B$6*D77</f>
        <v/>
      </c>
      <c r="F77" s="4">
        <f>$B$3*E77^(2/3)-$B$4*E77</f>
        <v/>
      </c>
      <c r="G77" s="4">
        <f>( $B$8 + ($B$9-$B$8)*EXP(-$B$4*B77/3) )^3</f>
        <v/>
      </c>
      <c r="H77" s="4">
        <f>ABS(C77-G77)</f>
        <v/>
      </c>
    </row>
    <row r="78">
      <c r="A78" s="4">
        <f>A77+1</f>
        <v/>
      </c>
      <c r="B78" s="4">
        <f>B77+$B$6</f>
        <v/>
      </c>
      <c r="C78" s="4">
        <f>C77+($B$6/2)*(D77+F77)</f>
        <v/>
      </c>
      <c r="D78" s="4">
        <f>$B$3*C78^(2/3)-$B$4*C78</f>
        <v/>
      </c>
      <c r="E78" s="4">
        <f>C78+$B$6*D78</f>
        <v/>
      </c>
      <c r="F78" s="4">
        <f>$B$3*E78^(2/3)-$B$4*E78</f>
        <v/>
      </c>
      <c r="G78" s="4">
        <f>( $B$8 + ($B$9-$B$8)*EXP(-$B$4*B78/3) )^3</f>
        <v/>
      </c>
      <c r="H78" s="4">
        <f>ABS(C78-G78)</f>
        <v/>
      </c>
    </row>
    <row r="79">
      <c r="A79" s="4">
        <f>A78+1</f>
        <v/>
      </c>
      <c r="B79" s="4">
        <f>B78+$B$6</f>
        <v/>
      </c>
      <c r="C79" s="4">
        <f>C78+($B$6/2)*(D78+F78)</f>
        <v/>
      </c>
      <c r="D79" s="4">
        <f>$B$3*C79^(2/3)-$B$4*C79</f>
        <v/>
      </c>
      <c r="E79" s="4">
        <f>C79+$B$6*D79</f>
        <v/>
      </c>
      <c r="F79" s="4">
        <f>$B$3*E79^(2/3)-$B$4*E79</f>
        <v/>
      </c>
      <c r="G79" s="4">
        <f>( $B$8 + ($B$9-$B$8)*EXP(-$B$4*B79/3) )^3</f>
        <v/>
      </c>
      <c r="H79" s="4">
        <f>ABS(C79-G79)</f>
        <v/>
      </c>
    </row>
    <row r="80">
      <c r="A80" s="4">
        <f>A79+1</f>
        <v/>
      </c>
      <c r="B80" s="4">
        <f>B79+$B$6</f>
        <v/>
      </c>
      <c r="C80" s="4">
        <f>C79+($B$6/2)*(D79+F79)</f>
        <v/>
      </c>
      <c r="D80" s="4">
        <f>$B$3*C80^(2/3)-$B$4*C80</f>
        <v/>
      </c>
      <c r="E80" s="4">
        <f>C80+$B$6*D80</f>
        <v/>
      </c>
      <c r="F80" s="4">
        <f>$B$3*E80^(2/3)-$B$4*E80</f>
        <v/>
      </c>
      <c r="G80" s="4">
        <f>( $B$8 + ($B$9-$B$8)*EXP(-$B$4*B80/3) )^3</f>
        <v/>
      </c>
      <c r="H80" s="4">
        <f>ABS(C80-G80)</f>
        <v/>
      </c>
    </row>
    <row r="81">
      <c r="A81" s="4">
        <f>A80+1</f>
        <v/>
      </c>
      <c r="B81" s="4">
        <f>B80+$B$6</f>
        <v/>
      </c>
      <c r="C81" s="4">
        <f>C80+($B$6/2)*(D80+F80)</f>
        <v/>
      </c>
      <c r="D81" s="4">
        <f>$B$3*C81^(2/3)-$B$4*C81</f>
        <v/>
      </c>
      <c r="E81" s="4">
        <f>C81+$B$6*D81</f>
        <v/>
      </c>
      <c r="F81" s="4">
        <f>$B$3*E81^(2/3)-$B$4*E81</f>
        <v/>
      </c>
      <c r="G81" s="4">
        <f>( $B$8 + ($B$9-$B$8)*EXP(-$B$4*B81/3) )^3</f>
        <v/>
      </c>
      <c r="H81" s="4">
        <f>ABS(C81-G81)</f>
        <v/>
      </c>
    </row>
    <row r="82">
      <c r="A82" s="4">
        <f>A81+1</f>
        <v/>
      </c>
      <c r="B82" s="4">
        <f>B81+$B$6</f>
        <v/>
      </c>
      <c r="C82" s="4">
        <f>C81+($B$6/2)*(D81+F81)</f>
        <v/>
      </c>
      <c r="D82" s="4">
        <f>$B$3*C82^(2/3)-$B$4*C82</f>
        <v/>
      </c>
      <c r="E82" s="4">
        <f>C82+$B$6*D82</f>
        <v/>
      </c>
      <c r="F82" s="4">
        <f>$B$3*E82^(2/3)-$B$4*E82</f>
        <v/>
      </c>
      <c r="G82" s="4">
        <f>( $B$8 + ($B$9-$B$8)*EXP(-$B$4*B82/3) )^3</f>
        <v/>
      </c>
      <c r="H82" s="4">
        <f>ABS(C82-G82)</f>
        <v/>
      </c>
    </row>
    <row r="83">
      <c r="A83" s="4">
        <f>A82+1</f>
        <v/>
      </c>
      <c r="B83" s="4">
        <f>B82+$B$6</f>
        <v/>
      </c>
      <c r="C83" s="4">
        <f>C82+($B$6/2)*(D82+F82)</f>
        <v/>
      </c>
      <c r="D83" s="4">
        <f>$B$3*C83^(2/3)-$B$4*C83</f>
        <v/>
      </c>
      <c r="E83" s="4">
        <f>C83+$B$6*D83</f>
        <v/>
      </c>
      <c r="F83" s="4">
        <f>$B$3*E83^(2/3)-$B$4*E83</f>
        <v/>
      </c>
      <c r="G83" s="4">
        <f>( $B$8 + ($B$9-$B$8)*EXP(-$B$4*B83/3) )^3</f>
        <v/>
      </c>
      <c r="H83" s="4">
        <f>ABS(C83-G83)</f>
        <v/>
      </c>
    </row>
    <row r="84">
      <c r="A84" s="4">
        <f>A83+1</f>
        <v/>
      </c>
      <c r="B84" s="4">
        <f>B83+$B$6</f>
        <v/>
      </c>
      <c r="C84" s="4">
        <f>C83+($B$6/2)*(D83+F83)</f>
        <v/>
      </c>
      <c r="D84" s="4">
        <f>$B$3*C84^(2/3)-$B$4*C84</f>
        <v/>
      </c>
      <c r="E84" s="4">
        <f>C84+$B$6*D84</f>
        <v/>
      </c>
      <c r="F84" s="4">
        <f>$B$3*E84^(2/3)-$B$4*E84</f>
        <v/>
      </c>
      <c r="G84" s="4">
        <f>( $B$8 + ($B$9-$B$8)*EXP(-$B$4*B84/3) )^3</f>
        <v/>
      </c>
      <c r="H84" s="4">
        <f>ABS(C84-G84)</f>
        <v/>
      </c>
    </row>
    <row r="85">
      <c r="A85" s="4">
        <f>A84+1</f>
        <v/>
      </c>
      <c r="B85" s="4">
        <f>B84+$B$6</f>
        <v/>
      </c>
      <c r="C85" s="4">
        <f>C84+($B$6/2)*(D84+F84)</f>
        <v/>
      </c>
      <c r="D85" s="4">
        <f>$B$3*C85^(2/3)-$B$4*C85</f>
        <v/>
      </c>
      <c r="E85" s="4">
        <f>C85+$B$6*D85</f>
        <v/>
      </c>
      <c r="F85" s="4">
        <f>$B$3*E85^(2/3)-$B$4*E85</f>
        <v/>
      </c>
      <c r="G85" s="4">
        <f>( $B$8 + ($B$9-$B$8)*EXP(-$B$4*B85/3) )^3</f>
        <v/>
      </c>
      <c r="H85" s="4">
        <f>ABS(C85-G85)</f>
        <v/>
      </c>
    </row>
    <row r="86">
      <c r="A86" s="4">
        <f>A85+1</f>
        <v/>
      </c>
      <c r="B86" s="4">
        <f>B85+$B$6</f>
        <v/>
      </c>
      <c r="C86" s="4">
        <f>C85+($B$6/2)*(D85+F85)</f>
        <v/>
      </c>
      <c r="D86" s="4">
        <f>$B$3*C86^(2/3)-$B$4*C86</f>
        <v/>
      </c>
      <c r="E86" s="4">
        <f>C86+$B$6*D86</f>
        <v/>
      </c>
      <c r="F86" s="4">
        <f>$B$3*E86^(2/3)-$B$4*E86</f>
        <v/>
      </c>
      <c r="G86" s="4">
        <f>( $B$8 + ($B$9-$B$8)*EXP(-$B$4*B86/3) )^3</f>
        <v/>
      </c>
      <c r="H86" s="4">
        <f>ABS(C86-G86)</f>
        <v/>
      </c>
    </row>
    <row r="87">
      <c r="A87" s="4">
        <f>A86+1</f>
        <v/>
      </c>
      <c r="B87" s="4">
        <f>B86+$B$6</f>
        <v/>
      </c>
      <c r="C87" s="4">
        <f>C86+($B$6/2)*(D86+F86)</f>
        <v/>
      </c>
      <c r="D87" s="4">
        <f>$B$3*C87^(2/3)-$B$4*C87</f>
        <v/>
      </c>
      <c r="E87" s="4">
        <f>C87+$B$6*D87</f>
        <v/>
      </c>
      <c r="F87" s="4">
        <f>$B$3*E87^(2/3)-$B$4*E87</f>
        <v/>
      </c>
      <c r="G87" s="4">
        <f>( $B$8 + ($B$9-$B$8)*EXP(-$B$4*B87/3) )^3</f>
        <v/>
      </c>
      <c r="H87" s="4">
        <f>ABS(C87-G87)</f>
        <v/>
      </c>
    </row>
    <row r="88">
      <c r="A88" s="4">
        <f>A87+1</f>
        <v/>
      </c>
      <c r="B88" s="4">
        <f>B87+$B$6</f>
        <v/>
      </c>
      <c r="C88" s="4">
        <f>C87+($B$6/2)*(D87+F87)</f>
        <v/>
      </c>
      <c r="D88" s="4">
        <f>$B$3*C88^(2/3)-$B$4*C88</f>
        <v/>
      </c>
      <c r="E88" s="4">
        <f>C88+$B$6*D88</f>
        <v/>
      </c>
      <c r="F88" s="4">
        <f>$B$3*E88^(2/3)-$B$4*E88</f>
        <v/>
      </c>
      <c r="G88" s="4">
        <f>( $B$8 + ($B$9-$B$8)*EXP(-$B$4*B88/3) )^3</f>
        <v/>
      </c>
      <c r="H88" s="4">
        <f>ABS(C88-G88)</f>
        <v/>
      </c>
    </row>
    <row r="89">
      <c r="A89" s="4">
        <f>A88+1</f>
        <v/>
      </c>
      <c r="B89" s="4">
        <f>B88+$B$6</f>
        <v/>
      </c>
      <c r="C89" s="4">
        <f>C88+($B$6/2)*(D88+F88)</f>
        <v/>
      </c>
      <c r="D89" s="4">
        <f>$B$3*C89^(2/3)-$B$4*C89</f>
        <v/>
      </c>
      <c r="E89" s="4">
        <f>C89+$B$6*D89</f>
        <v/>
      </c>
      <c r="F89" s="4">
        <f>$B$3*E89^(2/3)-$B$4*E89</f>
        <v/>
      </c>
      <c r="G89" s="4">
        <f>( $B$8 + ($B$9-$B$8)*EXP(-$B$4*B89/3) )^3</f>
        <v/>
      </c>
      <c r="H89" s="4">
        <f>ABS(C89-G89)</f>
        <v/>
      </c>
    </row>
    <row r="90">
      <c r="A90" s="4">
        <f>A89+1</f>
        <v/>
      </c>
      <c r="B90" s="4">
        <f>B89+$B$6</f>
        <v/>
      </c>
      <c r="C90" s="4">
        <f>C89+($B$6/2)*(D89+F89)</f>
        <v/>
      </c>
      <c r="D90" s="4">
        <f>$B$3*C90^(2/3)-$B$4*C90</f>
        <v/>
      </c>
      <c r="E90" s="4">
        <f>C90+$B$6*D90</f>
        <v/>
      </c>
      <c r="F90" s="4">
        <f>$B$3*E90^(2/3)-$B$4*E90</f>
        <v/>
      </c>
      <c r="G90" s="4">
        <f>( $B$8 + ($B$9-$B$8)*EXP(-$B$4*B90/3) )^3</f>
        <v/>
      </c>
      <c r="H90" s="4">
        <f>ABS(C90-G90)</f>
        <v/>
      </c>
    </row>
    <row r="91">
      <c r="A91" s="4">
        <f>A90+1</f>
        <v/>
      </c>
      <c r="B91" s="4">
        <f>B90+$B$6</f>
        <v/>
      </c>
      <c r="C91" s="4">
        <f>C90+($B$6/2)*(D90+F90)</f>
        <v/>
      </c>
      <c r="D91" s="4">
        <f>$B$3*C91^(2/3)-$B$4*C91</f>
        <v/>
      </c>
      <c r="E91" s="4">
        <f>C91+$B$6*D91</f>
        <v/>
      </c>
      <c r="F91" s="4">
        <f>$B$3*E91^(2/3)-$B$4*E91</f>
        <v/>
      </c>
      <c r="G91" s="4">
        <f>( $B$8 + ($B$9-$B$8)*EXP(-$B$4*B91/3) )^3</f>
        <v/>
      </c>
      <c r="H91" s="4">
        <f>ABS(C91-G91)</f>
        <v/>
      </c>
    </row>
    <row r="92">
      <c r="A92" s="4">
        <f>A91+1</f>
        <v/>
      </c>
      <c r="B92" s="4">
        <f>B91+$B$6</f>
        <v/>
      </c>
      <c r="C92" s="4">
        <f>C91+($B$6/2)*(D91+F91)</f>
        <v/>
      </c>
      <c r="D92" s="4">
        <f>$B$3*C92^(2/3)-$B$4*C92</f>
        <v/>
      </c>
      <c r="E92" s="4">
        <f>C92+$B$6*D92</f>
        <v/>
      </c>
      <c r="F92" s="4">
        <f>$B$3*E92^(2/3)-$B$4*E92</f>
        <v/>
      </c>
      <c r="G92" s="4">
        <f>( $B$8 + ($B$9-$B$8)*EXP(-$B$4*B92/3) )^3</f>
        <v/>
      </c>
      <c r="H92" s="4">
        <f>ABS(C92-G92)</f>
        <v/>
      </c>
    </row>
    <row r="93">
      <c r="A93" s="4">
        <f>A92+1</f>
        <v/>
      </c>
      <c r="B93" s="4">
        <f>B92+$B$6</f>
        <v/>
      </c>
      <c r="C93" s="4">
        <f>C92+($B$6/2)*(D92+F92)</f>
        <v/>
      </c>
      <c r="D93" s="4">
        <f>$B$3*C93^(2/3)-$B$4*C93</f>
        <v/>
      </c>
      <c r="E93" s="4">
        <f>C93+$B$6*D93</f>
        <v/>
      </c>
      <c r="F93" s="4">
        <f>$B$3*E93^(2/3)-$B$4*E93</f>
        <v/>
      </c>
      <c r="G93" s="4">
        <f>( $B$8 + ($B$9-$B$8)*EXP(-$B$4*B93/3) )^3</f>
        <v/>
      </c>
      <c r="H93" s="4">
        <f>ABS(C93-G93)</f>
        <v/>
      </c>
    </row>
    <row r="94">
      <c r="A94" s="4">
        <f>A93+1</f>
        <v/>
      </c>
      <c r="B94" s="4">
        <f>B93+$B$6</f>
        <v/>
      </c>
      <c r="C94" s="4">
        <f>C93+($B$6/2)*(D93+F93)</f>
        <v/>
      </c>
      <c r="D94" s="4">
        <f>$B$3*C94^(2/3)-$B$4*C94</f>
        <v/>
      </c>
      <c r="E94" s="4">
        <f>C94+$B$6*D94</f>
        <v/>
      </c>
      <c r="F94" s="4">
        <f>$B$3*E94^(2/3)-$B$4*E94</f>
        <v/>
      </c>
      <c r="G94" s="4">
        <f>( $B$8 + ($B$9-$B$8)*EXP(-$B$4*B94/3) )^3</f>
        <v/>
      </c>
      <c r="H94" s="4">
        <f>ABS(C94-G94)</f>
        <v/>
      </c>
    </row>
    <row r="95">
      <c r="A95" s="4">
        <f>A94+1</f>
        <v/>
      </c>
      <c r="B95" s="4">
        <f>B94+$B$6</f>
        <v/>
      </c>
      <c r="C95" s="4">
        <f>C94+($B$6/2)*(D94+F94)</f>
        <v/>
      </c>
      <c r="D95" s="4">
        <f>$B$3*C95^(2/3)-$B$4*C95</f>
        <v/>
      </c>
      <c r="E95" s="4">
        <f>C95+$B$6*D95</f>
        <v/>
      </c>
      <c r="F95" s="4">
        <f>$B$3*E95^(2/3)-$B$4*E95</f>
        <v/>
      </c>
      <c r="G95" s="4">
        <f>( $B$8 + ($B$9-$B$8)*EXP(-$B$4*B95/3) )^3</f>
        <v/>
      </c>
      <c r="H95" s="4">
        <f>ABS(C95-G95)</f>
        <v/>
      </c>
    </row>
    <row r="96">
      <c r="A96" s="4">
        <f>A95+1</f>
        <v/>
      </c>
      <c r="B96" s="4">
        <f>B95+$B$6</f>
        <v/>
      </c>
      <c r="C96" s="4">
        <f>C95+($B$6/2)*(D95+F95)</f>
        <v/>
      </c>
      <c r="D96" s="4">
        <f>$B$3*C96^(2/3)-$B$4*C96</f>
        <v/>
      </c>
      <c r="E96" s="4">
        <f>C96+$B$6*D96</f>
        <v/>
      </c>
      <c r="F96" s="4">
        <f>$B$3*E96^(2/3)-$B$4*E96</f>
        <v/>
      </c>
      <c r="G96" s="4">
        <f>( $B$8 + ($B$9-$B$8)*EXP(-$B$4*B96/3) )^3</f>
        <v/>
      </c>
      <c r="H96" s="4">
        <f>ABS(C96-G96)</f>
        <v/>
      </c>
    </row>
    <row r="97">
      <c r="A97" s="4">
        <f>A96+1</f>
        <v/>
      </c>
      <c r="B97" s="4">
        <f>B96+$B$6</f>
        <v/>
      </c>
      <c r="C97" s="4">
        <f>C96+($B$6/2)*(D96+F96)</f>
        <v/>
      </c>
      <c r="D97" s="4">
        <f>$B$3*C97^(2/3)-$B$4*C97</f>
        <v/>
      </c>
      <c r="E97" s="4">
        <f>C97+$B$6*D97</f>
        <v/>
      </c>
      <c r="F97" s="4">
        <f>$B$3*E97^(2/3)-$B$4*E97</f>
        <v/>
      </c>
      <c r="G97" s="4">
        <f>( $B$8 + ($B$9-$B$8)*EXP(-$B$4*B97/3) )^3</f>
        <v/>
      </c>
      <c r="H97" s="4">
        <f>ABS(C97-G97)</f>
        <v/>
      </c>
    </row>
    <row r="98">
      <c r="A98" s="4">
        <f>A97+1</f>
        <v/>
      </c>
      <c r="B98" s="4">
        <f>B97+$B$6</f>
        <v/>
      </c>
      <c r="C98" s="4">
        <f>C97+($B$6/2)*(D97+F97)</f>
        <v/>
      </c>
      <c r="D98" s="4">
        <f>$B$3*C98^(2/3)-$B$4*C98</f>
        <v/>
      </c>
      <c r="E98" s="4">
        <f>C98+$B$6*D98</f>
        <v/>
      </c>
      <c r="F98" s="4">
        <f>$B$3*E98^(2/3)-$B$4*E98</f>
        <v/>
      </c>
      <c r="G98" s="4">
        <f>( $B$8 + ($B$9-$B$8)*EXP(-$B$4*B98/3) )^3</f>
        <v/>
      </c>
      <c r="H98" s="4">
        <f>ABS(C98-G98)</f>
        <v/>
      </c>
    </row>
    <row r="99">
      <c r="A99" s="4">
        <f>A98+1</f>
        <v/>
      </c>
      <c r="B99" s="4">
        <f>B98+$B$6</f>
        <v/>
      </c>
      <c r="C99" s="4">
        <f>C98+($B$6/2)*(D98+F98)</f>
        <v/>
      </c>
      <c r="D99" s="4">
        <f>$B$3*C99^(2/3)-$B$4*C99</f>
        <v/>
      </c>
      <c r="E99" s="4">
        <f>C99+$B$6*D99</f>
        <v/>
      </c>
      <c r="F99" s="4">
        <f>$B$3*E99^(2/3)-$B$4*E99</f>
        <v/>
      </c>
      <c r="G99" s="4">
        <f>( $B$8 + ($B$9-$B$8)*EXP(-$B$4*B99/3) )^3</f>
        <v/>
      </c>
      <c r="H99" s="4">
        <f>ABS(C99-G99)</f>
        <v/>
      </c>
    </row>
    <row r="100">
      <c r="A100" s="4">
        <f>A99+1</f>
        <v/>
      </c>
      <c r="B100" s="4">
        <f>B99+$B$6</f>
        <v/>
      </c>
      <c r="C100" s="4">
        <f>C99+($B$6/2)*(D99+F99)</f>
        <v/>
      </c>
      <c r="D100" s="4">
        <f>$B$3*C100^(2/3)-$B$4*C100</f>
        <v/>
      </c>
      <c r="E100" s="4">
        <f>C100+$B$6*D100</f>
        <v/>
      </c>
      <c r="F100" s="4">
        <f>$B$3*E100^(2/3)-$B$4*E100</f>
        <v/>
      </c>
      <c r="G100" s="4">
        <f>( $B$8 + ($B$9-$B$8)*EXP(-$B$4*B100/3) )^3</f>
        <v/>
      </c>
      <c r="H100" s="4">
        <f>ABS(C100-G100)</f>
        <v/>
      </c>
    </row>
    <row r="101">
      <c r="A101" s="4">
        <f>A100+1</f>
        <v/>
      </c>
      <c r="B101" s="4">
        <f>B100+$B$6</f>
        <v/>
      </c>
      <c r="C101" s="4">
        <f>C100+($B$6/2)*(D100+F100)</f>
        <v/>
      </c>
      <c r="D101" s="4">
        <f>$B$3*C101^(2/3)-$B$4*C101</f>
        <v/>
      </c>
      <c r="E101" s="4">
        <f>C101+$B$6*D101</f>
        <v/>
      </c>
      <c r="F101" s="4">
        <f>$B$3*E101^(2/3)-$B$4*E101</f>
        <v/>
      </c>
      <c r="G101" s="4">
        <f>( $B$8 + ($B$9-$B$8)*EXP(-$B$4*B101/3) )^3</f>
        <v/>
      </c>
      <c r="H101" s="4">
        <f>ABS(C101-G101)</f>
        <v/>
      </c>
    </row>
    <row r="102">
      <c r="A102" s="4">
        <f>A101+1</f>
        <v/>
      </c>
      <c r="B102" s="4">
        <f>B101+$B$6</f>
        <v/>
      </c>
      <c r="C102" s="4">
        <f>C101+($B$6/2)*(D101+F101)</f>
        <v/>
      </c>
      <c r="D102" s="4">
        <f>$B$3*C102^(2/3)-$B$4*C102</f>
        <v/>
      </c>
      <c r="E102" s="4">
        <f>C102+$B$6*D102</f>
        <v/>
      </c>
      <c r="F102" s="4">
        <f>$B$3*E102^(2/3)-$B$4*E102</f>
        <v/>
      </c>
      <c r="G102" s="4">
        <f>( $B$8 + ($B$9-$B$8)*EXP(-$B$4*B102/3) )^3</f>
        <v/>
      </c>
      <c r="H102" s="4">
        <f>ABS(C102-G102)</f>
        <v/>
      </c>
    </row>
    <row r="103">
      <c r="A103" s="4">
        <f>A102+1</f>
        <v/>
      </c>
      <c r="B103" s="4">
        <f>B102+$B$6</f>
        <v/>
      </c>
      <c r="C103" s="4">
        <f>C102+($B$6/2)*(D102+F102)</f>
        <v/>
      </c>
      <c r="D103" s="4">
        <f>$B$3*C103^(2/3)-$B$4*C103</f>
        <v/>
      </c>
      <c r="E103" s="4">
        <f>C103+$B$6*D103</f>
        <v/>
      </c>
      <c r="F103" s="4">
        <f>$B$3*E103^(2/3)-$B$4*E103</f>
        <v/>
      </c>
      <c r="G103" s="4">
        <f>( $B$8 + ($B$9-$B$8)*EXP(-$B$4*B103/3) )^3</f>
        <v/>
      </c>
      <c r="H103" s="4">
        <f>ABS(C103-G103)</f>
        <v/>
      </c>
    </row>
    <row r="104">
      <c r="A104" s="4">
        <f>A103+1</f>
        <v/>
      </c>
      <c r="B104" s="4">
        <f>B103+$B$6</f>
        <v/>
      </c>
      <c r="C104" s="4">
        <f>C103+($B$6/2)*(D103+F103)</f>
        <v/>
      </c>
      <c r="D104" s="4">
        <f>$B$3*C104^(2/3)-$B$4*C104</f>
        <v/>
      </c>
      <c r="E104" s="4">
        <f>C104+$B$6*D104</f>
        <v/>
      </c>
      <c r="F104" s="4">
        <f>$B$3*E104^(2/3)-$B$4*E104</f>
        <v/>
      </c>
      <c r="G104" s="4">
        <f>( $B$8 + ($B$9-$B$8)*EXP(-$B$4*B104/3) )^3</f>
        <v/>
      </c>
      <c r="H104" s="4">
        <f>ABS(C104-G104)</f>
        <v/>
      </c>
    </row>
    <row r="105">
      <c r="A105" s="4">
        <f>A104+1</f>
        <v/>
      </c>
      <c r="B105" s="4">
        <f>B104+$B$6</f>
        <v/>
      </c>
      <c r="C105" s="4">
        <f>C104+($B$6/2)*(D104+F104)</f>
        <v/>
      </c>
      <c r="D105" s="4">
        <f>$B$3*C105^(2/3)-$B$4*C105</f>
        <v/>
      </c>
      <c r="E105" s="4">
        <f>C105+$B$6*D105</f>
        <v/>
      </c>
      <c r="F105" s="4">
        <f>$B$3*E105^(2/3)-$B$4*E105</f>
        <v/>
      </c>
      <c r="G105" s="4">
        <f>( $B$8 + ($B$9-$B$8)*EXP(-$B$4*B105/3) )^3</f>
        <v/>
      </c>
      <c r="H105" s="4">
        <f>ABS(C105-G105)</f>
        <v/>
      </c>
    </row>
    <row r="106">
      <c r="A106" s="4">
        <f>A105+1</f>
        <v/>
      </c>
      <c r="B106" s="4">
        <f>B105+$B$6</f>
        <v/>
      </c>
      <c r="C106" s="4">
        <f>C105+($B$6/2)*(D105+F105)</f>
        <v/>
      </c>
      <c r="D106" s="4">
        <f>$B$3*C106^(2/3)-$B$4*C106</f>
        <v/>
      </c>
      <c r="E106" s="4">
        <f>C106+$B$6*D106</f>
        <v/>
      </c>
      <c r="F106" s="4">
        <f>$B$3*E106^(2/3)-$B$4*E106</f>
        <v/>
      </c>
      <c r="G106" s="4">
        <f>( $B$8 + ($B$9-$B$8)*EXP(-$B$4*B106/3) )^3</f>
        <v/>
      </c>
      <c r="H106" s="4">
        <f>ABS(C106-G106)</f>
        <v/>
      </c>
    </row>
    <row r="107">
      <c r="A107" s="4">
        <f>A106+1</f>
        <v/>
      </c>
      <c r="B107" s="4">
        <f>B106+$B$6</f>
        <v/>
      </c>
      <c r="C107" s="4">
        <f>C106+($B$6/2)*(D106+F106)</f>
        <v/>
      </c>
      <c r="D107" s="4">
        <f>$B$3*C107^(2/3)-$B$4*C107</f>
        <v/>
      </c>
      <c r="E107" s="4">
        <f>C107+$B$6*D107</f>
        <v/>
      </c>
      <c r="F107" s="4">
        <f>$B$3*E107^(2/3)-$B$4*E107</f>
        <v/>
      </c>
      <c r="G107" s="4">
        <f>( $B$8 + ($B$9-$B$8)*EXP(-$B$4*B107/3) )^3</f>
        <v/>
      </c>
      <c r="H107" s="4">
        <f>ABS(C107-G107)</f>
        <v/>
      </c>
    </row>
    <row r="108">
      <c r="A108" s="4">
        <f>A107+1</f>
        <v/>
      </c>
      <c r="B108" s="4">
        <f>B107+$B$6</f>
        <v/>
      </c>
      <c r="C108" s="4">
        <f>C107+($B$6/2)*(D107+F107)</f>
        <v/>
      </c>
      <c r="D108" s="4">
        <f>$B$3*C108^(2/3)-$B$4*C108</f>
        <v/>
      </c>
      <c r="E108" s="4">
        <f>C108+$B$6*D108</f>
        <v/>
      </c>
      <c r="F108" s="4">
        <f>$B$3*E108^(2/3)-$B$4*E108</f>
        <v/>
      </c>
      <c r="G108" s="4">
        <f>( $B$8 + ($B$9-$B$8)*EXP(-$B$4*B108/3) )^3</f>
        <v/>
      </c>
      <c r="H108" s="4">
        <f>ABS(C108-G108)</f>
        <v/>
      </c>
    </row>
    <row r="109">
      <c r="A109" s="4">
        <f>A108+1</f>
        <v/>
      </c>
      <c r="B109" s="4">
        <f>B108+$B$6</f>
        <v/>
      </c>
      <c r="C109" s="4">
        <f>C108+($B$6/2)*(D108+F108)</f>
        <v/>
      </c>
      <c r="D109" s="4">
        <f>$B$3*C109^(2/3)-$B$4*C109</f>
        <v/>
      </c>
      <c r="E109" s="4">
        <f>C109+$B$6*D109</f>
        <v/>
      </c>
      <c r="F109" s="4">
        <f>$B$3*E109^(2/3)-$B$4*E109</f>
        <v/>
      </c>
      <c r="G109" s="4">
        <f>( $B$8 + ($B$9-$B$8)*EXP(-$B$4*B109/3) )^3</f>
        <v/>
      </c>
      <c r="H109" s="4">
        <f>ABS(C109-G109)</f>
        <v/>
      </c>
    </row>
    <row r="110">
      <c r="A110" s="4">
        <f>A109+1</f>
        <v/>
      </c>
      <c r="B110" s="4">
        <f>B109+$B$6</f>
        <v/>
      </c>
      <c r="C110" s="4">
        <f>C109+($B$6/2)*(D109+F109)</f>
        <v/>
      </c>
      <c r="D110" s="4">
        <f>$B$3*C110^(2/3)-$B$4*C110</f>
        <v/>
      </c>
      <c r="E110" s="4">
        <f>C110+$B$6*D110</f>
        <v/>
      </c>
      <c r="F110" s="4">
        <f>$B$3*E110^(2/3)-$B$4*E110</f>
        <v/>
      </c>
      <c r="G110" s="4">
        <f>( $B$8 + ($B$9-$B$8)*EXP(-$B$4*B110/3) )^3</f>
        <v/>
      </c>
      <c r="H110" s="4">
        <f>ABS(C110-G110)</f>
        <v/>
      </c>
    </row>
    <row r="111">
      <c r="A111" s="4">
        <f>A110+1</f>
        <v/>
      </c>
      <c r="B111" s="4">
        <f>B110+$B$6</f>
        <v/>
      </c>
      <c r="C111" s="4">
        <f>C110+($B$6/2)*(D110+F110)</f>
        <v/>
      </c>
      <c r="D111" s="4">
        <f>$B$3*C111^(2/3)-$B$4*C111</f>
        <v/>
      </c>
      <c r="E111" s="4">
        <f>C111+$B$6*D111</f>
        <v/>
      </c>
      <c r="F111" s="4">
        <f>$B$3*E111^(2/3)-$B$4*E111</f>
        <v/>
      </c>
      <c r="G111" s="4">
        <f>( $B$8 + ($B$9-$B$8)*EXP(-$B$4*B111/3) )^3</f>
        <v/>
      </c>
      <c r="H111" s="4">
        <f>ABS(C111-G111)</f>
        <v/>
      </c>
    </row>
    <row r="112">
      <c r="A112" s="4">
        <f>A111+1</f>
        <v/>
      </c>
      <c r="B112" s="4">
        <f>B111+$B$6</f>
        <v/>
      </c>
      <c r="C112" s="4">
        <f>C111+($B$6/2)*(D111+F111)</f>
        <v/>
      </c>
      <c r="D112" s="4">
        <f>$B$3*C112^(2/3)-$B$4*C112</f>
        <v/>
      </c>
      <c r="E112" s="4">
        <f>C112+$B$6*D112</f>
        <v/>
      </c>
      <c r="F112" s="4">
        <f>$B$3*E112^(2/3)-$B$4*E112</f>
        <v/>
      </c>
      <c r="G112" s="4">
        <f>( $B$8 + ($B$9-$B$8)*EXP(-$B$4*B112/3) )^3</f>
        <v/>
      </c>
      <c r="H112" s="4">
        <f>ABS(C112-G112)</f>
        <v/>
      </c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2025-12-02T16:28:50Z</dcterms:created>
  <dcterms:modified xmlns:dcterms="http://purl.org/dc/terms/" xmlns:xsi="http://www.w3.org/2001/XMLSchema-instance" xsi:type="dcterms:W3CDTF">2025-12-02T16:28:50Z</dcterms:modified>
</cp:coreProperties>
</file>